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in\Desktop\FAC\Master 272 - Dauphine\Projet_Arbre_Trinomial\VBA\"/>
    </mc:Choice>
  </mc:AlternateContent>
  <xr:revisionPtr revIDLastSave="0" documentId="13_ncr:1_{39B36004-817D-4584-BEC1-6C50E53B1FA0}" xr6:coauthVersionLast="47" xr6:coauthVersionMax="47" xr10:uidLastSave="{00000000-0000-0000-0000-000000000000}"/>
  <bookViews>
    <workbookView showHorizontalScroll="0" showVerticalScroll="0" xWindow="-120" yWindow="-120" windowWidth="20730" windowHeight="11040" xr2:uid="{00000000-000D-0000-FFFF-FFFF00000000}"/>
  </bookViews>
  <sheets>
    <sheet name="Pricing" sheetId="3" r:id="rId1"/>
    <sheet name="Tree" sheetId="11" r:id="rId2"/>
    <sheet name="Gap_B&amp;S_Tree" sheetId="7" r:id="rId3"/>
  </sheets>
  <functionGroups builtInGroupCount="19"/>
  <definedNames>
    <definedName name="Alpha">Pricing!#REF!</definedName>
    <definedName name="CallPut">Pricing!$D$15</definedName>
    <definedName name="DeltaT">Pricing!#REF!</definedName>
    <definedName name="DivAmount">Pricing!$D$11</definedName>
    <definedName name="DivDate">Pricing!$D$12</definedName>
    <definedName name="EUUS">Pricing!$D$16</definedName>
    <definedName name="IntRate">Pricing!$D$9</definedName>
    <definedName name="MatuDate">Pricing!$D$14</definedName>
    <definedName name="Multiplicator">Pricing!$D$20</definedName>
    <definedName name="NbSteps">Pricing!$D$19</definedName>
    <definedName name="PriceDate">Pricing!$D$7</definedName>
    <definedName name="Pruning">Pricing!$D$22</definedName>
    <definedName name="ResPrice">Pricing!$G$14</definedName>
    <definedName name="rg">#REF!</definedName>
    <definedName name="rg_bsprice">'Gap_B&amp;S_Tree'!$G$6:$G$28</definedName>
    <definedName name="rg_bsprice2">'Gap_B&amp;S_Tree'!$G$37:$G$57</definedName>
    <definedName name="rg_copie">#REF!</definedName>
    <definedName name="rg_gapsbyK">'Gap_B&amp;S_Tree'!$I$37:$I$57</definedName>
    <definedName name="rg_gapsbysteps">'Gap_B&amp;S_Tree'!$I$6:$I$28</definedName>
    <definedName name="rg_nbsteps">'Gap_B&amp;S_Tree'!$F$6:$F$28</definedName>
    <definedName name="rg_priceT">'Gap_B&amp;S_Tree'!$H$6:$H$28</definedName>
    <definedName name="rg_priceT2">'Gap_B&amp;S_Tree'!$H$37:$H$57</definedName>
    <definedName name="rg_strike">'Gap_B&amp;S_Tree'!$F$37:$F$57</definedName>
    <definedName name="rg_timeNR">'Gap_B&amp;S_Tree'!$J$6:$J$28</definedName>
    <definedName name="rg_timeR">'Gap_B&amp;S_Tree'!$K$6:$K$28</definedName>
    <definedName name="rg_tree">Tree!$1:$1048576</definedName>
    <definedName name="Save">Pricing!#REF!</definedName>
    <definedName name="solver_eng" localSheetId="2" hidden="1">1</definedName>
    <definedName name="solver_lin" localSheetId="2" hidden="1">2</definedName>
    <definedName name="solver_neg" localSheetId="2" hidden="1">1</definedName>
    <definedName name="solver_num" localSheetId="2" hidden="1">0</definedName>
    <definedName name="solver_opt" localSheetId="2" hidden="1">'Gap_B&amp;S_Tree'!$J$14</definedName>
    <definedName name="solver_typ" localSheetId="2" hidden="1">1</definedName>
    <definedName name="solver_val" localSheetId="2" hidden="1">0</definedName>
    <definedName name="solver_ver" localSheetId="2" hidden="1">2</definedName>
    <definedName name="StockPrice">Pricing!$D$8</definedName>
    <definedName name="StrikePrice">Pricing!$D$17</definedName>
    <definedName name="Tree_name">Tree!$B$2</definedName>
    <definedName name="VB_exctime">Pricing!$I$14</definedName>
    <definedName name="Volatility">Pricing!$D$10</definedName>
    <definedName name="what">Pricing!$D$23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8" i="7" l="1"/>
  <c r="C46" i="7"/>
  <c r="C16" i="7"/>
  <c r="F38" i="7"/>
  <c r="F11" i="7"/>
  <c r="F12" i="7"/>
  <c r="F13" i="7"/>
  <c r="F14" i="7"/>
  <c r="F15" i="7"/>
  <c r="F16" i="7"/>
  <c r="F17" i="7"/>
  <c r="F18" i="7"/>
  <c r="F20" i="7"/>
  <c r="F22" i="7"/>
  <c r="F24" i="7"/>
  <c r="F26" i="7"/>
  <c r="F28" i="7"/>
  <c r="F7" i="7"/>
  <c r="F8" i="7"/>
  <c r="F9" i="7"/>
  <c r="D20" i="3"/>
  <c r="K38" i="7"/>
  <c r="F39" i="7"/>
  <c r="F40" i="7"/>
  <c r="K39" i="7"/>
  <c r="F41" i="7"/>
  <c r="K41" i="7"/>
  <c r="K40" i="7"/>
  <c r="F42" i="7"/>
  <c r="K42" i="7"/>
  <c r="F43" i="7"/>
  <c r="K43" i="7"/>
  <c r="F44" i="7"/>
  <c r="K44" i="7"/>
  <c r="F45" i="7"/>
  <c r="F46" i="7"/>
  <c r="K45" i="7"/>
  <c r="F47" i="7"/>
  <c r="K46" i="7"/>
  <c r="F48" i="7"/>
  <c r="K48" i="7"/>
  <c r="K47" i="7"/>
  <c r="F49" i="7"/>
  <c r="K49" i="7"/>
  <c r="F50" i="7"/>
  <c r="K50" i="7"/>
  <c r="F51" i="7"/>
  <c r="K51" i="7"/>
  <c r="F52" i="7"/>
  <c r="K52" i="7"/>
  <c r="F53" i="7"/>
  <c r="F54" i="7"/>
  <c r="K54" i="7"/>
  <c r="K53" i="7"/>
  <c r="F55" i="7"/>
  <c r="K55" i="7"/>
  <c r="F56" i="7"/>
  <c r="K56" i="7"/>
  <c r="F57" i="7"/>
  <c r="K57" i="7"/>
  <c r="G43" i="7" a="1"/>
  <c r="G47" i="7" a="1"/>
  <c r="G39" i="7" a="1"/>
  <c r="G37" i="7" a="1"/>
  <c r="G48" i="7" a="1"/>
  <c r="G49" i="7" a="1"/>
  <c r="G38" i="7" a="1"/>
  <c r="C18" i="7" a="1"/>
  <c r="G57" i="7" a="1"/>
  <c r="G45" i="7" a="1"/>
  <c r="G56" i="7" a="1"/>
  <c r="G51" i="7" a="1"/>
  <c r="G17" i="3" a="1"/>
  <c r="G50" i="7" a="1"/>
  <c r="G52" i="7" a="1"/>
  <c r="G55" i="7" a="1"/>
  <c r="G40" i="7" a="1"/>
  <c r="G54" i="7" a="1"/>
  <c r="G41" i="7" a="1"/>
  <c r="G42" i="7" a="1"/>
  <c r="G53" i="7" a="1"/>
  <c r="G44" i="7" a="1"/>
  <c r="G46" i="7" a="1"/>
  <c r="G18" i="3" a="1"/>
  <c r="G55" i="7" l="1"/>
  <c r="G50" i="7"/>
  <c r="G54" i="7"/>
  <c r="G49" i="7"/>
  <c r="G18" i="3"/>
  <c r="G45" i="7"/>
  <c r="G53" i="7"/>
  <c r="G40" i="7"/>
  <c r="G52" i="7"/>
  <c r="G39" i="7"/>
  <c r="G46" i="7"/>
  <c r="G51" i="7"/>
  <c r="C18" i="7"/>
  <c r="G41" i="7"/>
  <c r="G56" i="7"/>
  <c r="G38" i="7"/>
  <c r="G47" i="7"/>
  <c r="G44" i="7"/>
  <c r="G43" i="7"/>
  <c r="G42" i="7"/>
  <c r="G57" i="7"/>
  <c r="I57" i="7" s="1"/>
  <c r="G37" i="7"/>
  <c r="G48" i="7"/>
  <c r="G17" i="3"/>
  <c r="J41" i="7" l="1"/>
  <c r="I40" i="7"/>
  <c r="J49" i="7"/>
  <c r="I48" i="7"/>
  <c r="I56" i="7"/>
  <c r="J57" i="7"/>
  <c r="J54" i="7"/>
  <c r="I53" i="7"/>
  <c r="I38" i="7"/>
  <c r="J39" i="7"/>
  <c r="I37" i="7"/>
  <c r="J38" i="7"/>
  <c r="I41" i="7"/>
  <c r="J42" i="7"/>
  <c r="J46" i="7"/>
  <c r="I45" i="7"/>
  <c r="G8" i="7"/>
  <c r="I8" i="7" s="1"/>
  <c r="G14" i="7"/>
  <c r="I14" i="7" s="1"/>
  <c r="G16" i="7"/>
  <c r="I16" i="7" s="1"/>
  <c r="G12" i="7"/>
  <c r="I12" i="7" s="1"/>
  <c r="G21" i="7"/>
  <c r="I21" i="7" s="1"/>
  <c r="G7" i="7"/>
  <c r="I7" i="7" s="1"/>
  <c r="G9" i="7"/>
  <c r="I9" i="7" s="1"/>
  <c r="G18" i="7"/>
  <c r="I18" i="7" s="1"/>
  <c r="G20" i="7"/>
  <c r="I20" i="7" s="1"/>
  <c r="G6" i="7"/>
  <c r="I6" i="7" s="1"/>
  <c r="G22" i="7"/>
  <c r="I22" i="7" s="1"/>
  <c r="G15" i="7"/>
  <c r="I15" i="7" s="1"/>
  <c r="G17" i="7"/>
  <c r="I17" i="7" s="1"/>
  <c r="G26" i="7"/>
  <c r="I26" i="7" s="1"/>
  <c r="G28" i="7"/>
  <c r="I28" i="7" s="1"/>
  <c r="G24" i="7"/>
  <c r="I24" i="7" s="1"/>
  <c r="G23" i="7"/>
  <c r="I23" i="7" s="1"/>
  <c r="G25" i="7"/>
  <c r="I25" i="7" s="1"/>
  <c r="G11" i="7"/>
  <c r="I11" i="7" s="1"/>
  <c r="G13" i="7"/>
  <c r="I13" i="7" s="1"/>
  <c r="G19" i="7"/>
  <c r="I19" i="7" s="1"/>
  <c r="G27" i="7"/>
  <c r="I27" i="7" s="1"/>
  <c r="G10" i="7"/>
  <c r="I10" i="7" s="1"/>
  <c r="I42" i="7"/>
  <c r="J43" i="7"/>
  <c r="I51" i="7"/>
  <c r="J52" i="7"/>
  <c r="J50" i="7"/>
  <c r="I49" i="7"/>
  <c r="J44" i="7"/>
  <c r="I43" i="7"/>
  <c r="J47" i="7"/>
  <c r="I46" i="7"/>
  <c r="J55" i="7"/>
  <c r="I54" i="7"/>
  <c r="I44" i="7"/>
  <c r="J45" i="7"/>
  <c r="J40" i="7"/>
  <c r="I39" i="7"/>
  <c r="J51" i="7"/>
  <c r="I50" i="7"/>
  <c r="J48" i="7"/>
  <c r="I47" i="7"/>
  <c r="J53" i="7"/>
  <c r="I52" i="7"/>
  <c r="J56" i="7"/>
  <c r="I55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<sst xmlns="http://schemas.openxmlformats.org/spreadsheetml/2006/main" count="93" uniqueCount="49">
  <si>
    <t>Stock price</t>
  </si>
  <si>
    <t xml:space="preserve">Pricing date </t>
  </si>
  <si>
    <t xml:space="preserve">Maturity date </t>
  </si>
  <si>
    <t>Div date</t>
  </si>
  <si>
    <t>Div amount</t>
  </si>
  <si>
    <t>Int rate</t>
  </si>
  <si>
    <t>Volatility</t>
  </si>
  <si>
    <t xml:space="preserve">Multiplicator </t>
  </si>
  <si>
    <t>Parameters</t>
  </si>
  <si>
    <t>PRICING OPTIONS WITH A TRINOMIAL TREE</t>
  </si>
  <si>
    <t>Option price</t>
  </si>
  <si>
    <t>Call/Put</t>
  </si>
  <si>
    <t xml:space="preserve">Strike price </t>
  </si>
  <si>
    <t>European/American</t>
  </si>
  <si>
    <t>Nb steps</t>
  </si>
  <si>
    <t>Black Scholes Call</t>
  </si>
  <si>
    <t>Black Scholes Put</t>
  </si>
  <si>
    <t>Print Tree</t>
  </si>
  <si>
    <t>European</t>
  </si>
  <si>
    <t>Call</t>
  </si>
  <si>
    <t>Temps d'exécution du pricing</t>
  </si>
  <si>
    <t>THE GAP AS A FUNCTION OF THE NUMBER OF STEPS</t>
  </si>
  <si>
    <t>B&amp;S price</t>
  </si>
  <si>
    <t>NbSteps</t>
  </si>
  <si>
    <t>Gap = (Tree-BS) x NbSteps</t>
  </si>
  <si>
    <t>Tree</t>
  </si>
  <si>
    <t>Strike</t>
  </si>
  <si>
    <t>Gap = (Tree-BS)</t>
  </si>
  <si>
    <t>THE GAP AS A FUNCTION OF THE STRIKE (10 steps)</t>
  </si>
  <si>
    <t>Slope BS</t>
  </si>
  <si>
    <t>Slope Tree</t>
  </si>
  <si>
    <t>Price BS</t>
  </si>
  <si>
    <t xml:space="preserve">Pruning </t>
  </si>
  <si>
    <t xml:space="preserve">Start date </t>
  </si>
  <si>
    <t>Start price</t>
  </si>
  <si>
    <t>Interest rate</t>
  </si>
  <si>
    <t>Dividend amount</t>
  </si>
  <si>
    <t>Div ex date</t>
  </si>
  <si>
    <t>MARKET</t>
  </si>
  <si>
    <t>OPTION</t>
  </si>
  <si>
    <t>TREE</t>
  </si>
  <si>
    <t>Pricing options</t>
  </si>
  <si>
    <t>True</t>
  </si>
  <si>
    <t>VBA code : pricing recursif</t>
  </si>
  <si>
    <t>VBA code : pricing non recursif</t>
  </si>
  <si>
    <t>Option_Price</t>
  </si>
  <si>
    <t>Execution Time Pricer Non rec</t>
  </si>
  <si>
    <t>Execution Time Pricer rec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</si>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</sst>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00"/>
    <numFmt numFmtId="165" formatCode="0.000000"/>
    <numFmt numFmtId="166" formatCode="0.0000000"/>
    <numFmt numFmtId="167" formatCode="0.0000000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3" borderId="0" xfId="0" applyFill="1"/>
    <xf numFmtId="0" fontId="2" fillId="3" borderId="0" xfId="0" applyFont="1" applyFill="1"/>
    <xf numFmtId="0" fontId="0" fillId="2" borderId="1" xfId="0" applyFill="1" applyBorder="1" applyAlignment="1">
      <alignment horizontal="center"/>
    </xf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14" fontId="0" fillId="3" borderId="5" xfId="0" applyNumberFormat="1" applyFill="1" applyBorder="1" applyAlignment="1">
      <alignment horizontal="right"/>
    </xf>
    <xf numFmtId="0" fontId="0" fillId="4" borderId="2" xfId="0" applyFill="1" applyBorder="1"/>
    <xf numFmtId="0" fontId="0" fillId="4" borderId="4" xfId="0" applyFill="1" applyBorder="1"/>
    <xf numFmtId="9" fontId="0" fillId="3" borderId="5" xfId="0" applyNumberFormat="1" applyFill="1" applyBorder="1" applyAlignment="1">
      <alignment horizontal="right"/>
    </xf>
    <xf numFmtId="0" fontId="0" fillId="4" borderId="8" xfId="0" applyFill="1" applyBorder="1"/>
    <xf numFmtId="0" fontId="0" fillId="3" borderId="3" xfId="0" applyFill="1" applyBorder="1"/>
    <xf numFmtId="0" fontId="0" fillId="4" borderId="6" xfId="0" applyFill="1" applyBorder="1"/>
    <xf numFmtId="0" fontId="0" fillId="0" borderId="0" xfId="0" applyAlignment="1">
      <alignment horizontal="right"/>
    </xf>
    <xf numFmtId="9" fontId="0" fillId="0" borderId="0" xfId="0" applyNumberFormat="1" applyAlignment="1">
      <alignment horizontal="right"/>
    </xf>
    <xf numFmtId="165" fontId="0" fillId="3" borderId="0" xfId="0" applyNumberFormat="1" applyFill="1"/>
    <xf numFmtId="0" fontId="0" fillId="0" borderId="10" xfId="0" applyBorder="1"/>
    <xf numFmtId="0" fontId="0" fillId="5" borderId="10" xfId="0" applyFill="1" applyBorder="1" applyAlignment="1">
      <alignment horizontal="center"/>
    </xf>
    <xf numFmtId="165" fontId="0" fillId="0" borderId="10" xfId="0" applyNumberFormat="1" applyBorder="1"/>
    <xf numFmtId="166" fontId="0" fillId="0" borderId="10" xfId="0" applyNumberFormat="1" applyBorder="1"/>
    <xf numFmtId="167" fontId="0" fillId="3" borderId="7" xfId="0" applyNumberFormat="1" applyFill="1" applyBorder="1"/>
    <xf numFmtId="0" fontId="0" fillId="5" borderId="10" xfId="0" applyFill="1" applyBorder="1" applyAlignment="1">
      <alignment horizontal="center" wrapText="1"/>
    </xf>
    <xf numFmtId="0" fontId="0" fillId="0" borderId="2" xfId="0" applyBorder="1"/>
    <xf numFmtId="0" fontId="0" fillId="0" borderId="11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5" xfId="0" applyBorder="1"/>
    <xf numFmtId="0" fontId="0" fillId="0" borderId="6" xfId="0" applyBorder="1"/>
    <xf numFmtId="0" fontId="0" fillId="0" borderId="12" xfId="0" applyBorder="1"/>
    <xf numFmtId="0" fontId="0" fillId="0" borderId="7" xfId="0" applyBorder="1"/>
    <xf numFmtId="0" fontId="0" fillId="4" borderId="7" xfId="0" applyFill="1" applyBorder="1" applyAlignment="1">
      <alignment horizontal="right"/>
    </xf>
    <xf numFmtId="0" fontId="0" fillId="0" borderId="9" xfId="0" applyBorder="1"/>
    <xf numFmtId="0" fontId="0" fillId="0" borderId="5" xfId="0" applyBorder="1" applyAlignment="1">
      <alignment horizontal="right"/>
    </xf>
    <xf numFmtId="9" fontId="0" fillId="0" borderId="5" xfId="0" applyNumberFormat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7" xfId="0" applyBorder="1" applyAlignment="1">
      <alignment horizontal="right"/>
    </xf>
    <xf numFmtId="14" fontId="0" fillId="0" borderId="0" xfId="0" applyNumberFormat="1" applyAlignment="1">
      <alignment horizontal="right"/>
    </xf>
    <xf numFmtId="14" fontId="0" fillId="0" borderId="3" xfId="0" applyNumberFormat="1" applyBorder="1" applyAlignment="1">
      <alignment horizontal="right"/>
    </xf>
    <xf numFmtId="14" fontId="0" fillId="0" borderId="7" xfId="0" applyNumberFormat="1" applyBorder="1" applyAlignment="1">
      <alignment horizontal="right"/>
    </xf>
    <xf numFmtId="0" fontId="1" fillId="3" borderId="0" xfId="0" applyFont="1" applyFill="1" applyAlignment="1">
      <alignment horizontal="center" vertical="center"/>
    </xf>
    <xf numFmtId="0" fontId="0" fillId="6" borderId="0" xfId="0" applyFill="1"/>
    <xf numFmtId="0" fontId="0" fillId="6" borderId="11" xfId="0" applyFill="1" applyBorder="1"/>
    <xf numFmtId="0" fontId="0" fillId="6" borderId="12" xfId="0" applyFill="1" applyBorder="1"/>
    <xf numFmtId="0" fontId="0" fillId="3" borderId="7" xfId="0" applyFill="1" applyBorder="1" applyAlignment="1">
      <alignment horizontal="right"/>
    </xf>
    <xf numFmtId="0" fontId="5" fillId="0" borderId="0" xfId="0" applyFont="1"/>
    <xf numFmtId="0" fontId="0" fillId="3" borderId="15" xfId="0" applyFill="1" applyBorder="1"/>
    <xf numFmtId="0" fontId="0" fillId="3" borderId="14" xfId="0" applyFill="1" applyBorder="1"/>
    <xf numFmtId="164" fontId="0" fillId="3" borderId="3" xfId="0" applyNumberFormat="1" applyFill="1" applyBorder="1"/>
    <xf numFmtId="164" fontId="0" fillId="3" borderId="0" xfId="0" applyNumberFormat="1" applyFill="1"/>
    <xf numFmtId="164" fontId="0" fillId="3" borderId="7" xfId="0" applyNumberFormat="1" applyFill="1" applyBorder="1"/>
    <xf numFmtId="0" fontId="1" fillId="7" borderId="2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7D4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'Gap_B&amp;S_Tree'!$I$5</c:f>
              <c:strCache>
                <c:ptCount val="1"/>
                <c:pt idx="0">
                  <c:v>Gap = (Tree-BS) x NbSteps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'Gap_B&amp;S_Tree'!$F$6:$F$28</c:f>
              <c:numCache>
                <c:formatCode>General</c:formatCode>
                <c:ptCount val="23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80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550</c:v>
                </c:pt>
                <c:pt idx="14">
                  <c:v>600</c:v>
                </c:pt>
                <c:pt idx="15">
                  <c:v>650</c:v>
                </c:pt>
                <c:pt idx="16">
                  <c:v>700</c:v>
                </c:pt>
                <c:pt idx="17">
                  <c:v>750</c:v>
                </c:pt>
                <c:pt idx="18">
                  <c:v>800</c:v>
                </c:pt>
                <c:pt idx="19">
                  <c:v>850</c:v>
                </c:pt>
                <c:pt idx="20">
                  <c:v>900</c:v>
                </c:pt>
                <c:pt idx="21">
                  <c:v>950</c:v>
                </c:pt>
                <c:pt idx="22">
                  <c:v>1000</c:v>
                </c:pt>
              </c:numCache>
            </c:numRef>
          </c:xVal>
          <c:yVal>
            <c:numRef>
              <c:f>'Gap_B&amp;S_Tree'!$I$6:$I$28</c:f>
              <c:numCache>
                <c:formatCode>General</c:formatCode>
                <c:ptCount val="23"/>
                <c:pt idx="0">
                  <c:v>-1.6241678495394751</c:v>
                </c:pt>
                <c:pt idx="1">
                  <c:v>0.86923347264036721</c:v>
                </c:pt>
                <c:pt idx="2">
                  <c:v>-1.0833917927448766</c:v>
                </c:pt>
                <c:pt idx="3">
                  <c:v>-1.2708432691167104</c:v>
                </c:pt>
                <c:pt idx="4">
                  <c:v>0.40901251090339485</c:v>
                </c:pt>
                <c:pt idx="5">
                  <c:v>-1.3903066236350625</c:v>
                </c:pt>
                <c:pt idx="6">
                  <c:v>0.5357329499513952</c:v>
                </c:pt>
                <c:pt idx="7">
                  <c:v>-1.7817226287242249E-2</c:v>
                </c:pt>
                <c:pt idx="8">
                  <c:v>0.22498910213606393</c:v>
                </c:pt>
                <c:pt idx="9">
                  <c:v>-0.34510991103626765</c:v>
                </c:pt>
                <c:pt idx="10">
                  <c:v>0.52508437852551992</c:v>
                </c:pt>
                <c:pt idx="11">
                  <c:v>-1.8818344496525086</c:v>
                </c:pt>
                <c:pt idx="12">
                  <c:v>0.4107811276137241</c:v>
                </c:pt>
                <c:pt idx="13">
                  <c:v>-0.28776605936400301</c:v>
                </c:pt>
                <c:pt idx="14">
                  <c:v>-1.2976986989180261</c:v>
                </c:pt>
                <c:pt idx="15">
                  <c:v>0.21240788324607962</c:v>
                </c:pt>
                <c:pt idx="16">
                  <c:v>-0.55974007740093867</c:v>
                </c:pt>
                <c:pt idx="17">
                  <c:v>-1.9652201119302326</c:v>
                </c:pt>
                <c:pt idx="18">
                  <c:v>-0.2870413421319995</c:v>
                </c:pt>
                <c:pt idx="19">
                  <c:v>-0.46652271985054838</c:v>
                </c:pt>
                <c:pt idx="20">
                  <c:v>-2.389232083127979</c:v>
                </c:pt>
                <c:pt idx="21">
                  <c:v>-1.4249758530956669</c:v>
                </c:pt>
                <c:pt idx="22">
                  <c:v>-0.67170315831255323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A-A543-8134-5A85601D3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1124640"/>
        <c:axId val="-1271114848"/>
      </c:scatterChart>
      <c:valAx>
        <c:axId val="-1271124640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Gap between Black Scholes price and the trinomial tree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271114848"/>
        <c:crosses val="autoZero"/>
        <c:crossBetween val="midCat"/>
      </c:valAx>
      <c:valAx>
        <c:axId val="-127111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Number of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27112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Tree vs. Black Shcoles Price as function of the strike (10 steps)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'Gap_B&amp;S_Tree'!$G$36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'Gap_B&amp;S_Tree'!$F$43:$F$51</c:f>
              <c:numCache>
                <c:formatCode>General</c:formatCode>
                <c:ptCount val="9"/>
                <c:pt idx="0">
                  <c:v>80</c:v>
                </c:pt>
                <c:pt idx="1">
                  <c:v>85</c:v>
                </c:pt>
                <c:pt idx="2">
                  <c:v>90</c:v>
                </c:pt>
                <c:pt idx="3">
                  <c:v>95</c:v>
                </c:pt>
                <c:pt idx="4">
                  <c:v>100</c:v>
                </c:pt>
                <c:pt idx="5">
                  <c:v>105</c:v>
                </c:pt>
                <c:pt idx="6">
                  <c:v>110</c:v>
                </c:pt>
                <c:pt idx="7">
                  <c:v>115</c:v>
                </c:pt>
                <c:pt idx="8">
                  <c:v>120</c:v>
                </c:pt>
              </c:numCache>
            </c:numRef>
          </c:cat>
          <c:val>
            <c:numRef>
              <c:f>'Gap_B&amp;S_Tree'!$G$43:$G$51</c:f>
              <c:numCache>
                <c:formatCode>0.0000000</c:formatCode>
                <c:ptCount val="9"/>
                <c:pt idx="0">
                  <c:v>23.309608478925458</c:v>
                </c:pt>
                <c:pt idx="1">
                  <c:v>19.401466535103328</c:v>
                </c:pt>
                <c:pt idx="2">
                  <c:v>15.883962415522213</c:v>
                </c:pt>
                <c:pt idx="3">
                  <c:v>12.794576696639458</c:v>
                </c:pt>
                <c:pt idx="4">
                  <c:v>10.145617437778215</c:v>
                </c:pt>
                <c:pt idx="5">
                  <c:v>7.9259184849241837</c:v>
                </c:pt>
                <c:pt idx="6">
                  <c:v>6.1056450248674681</c:v>
                </c:pt>
                <c:pt idx="7">
                  <c:v>4.6424790378732412</c:v>
                </c:pt>
                <c:pt idx="8">
                  <c:v>3.4877367429734734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D-0148-9131-0B13EA84AC02}"/>
            </c:ext>
          </c:extLst>
        </c:ser>
        <c:ser>
          <c:idx val="1"/>
          <c:order val="1"/>
          <c:tx>
            <c:strRef>
              <c:f>'Gap_B&amp;S_Tree'!$H$36</c:f>
              <c:strCache>
                <c:ptCount val="1"/>
                <c:pt idx="0">
                  <c:v>Tree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'Gap_B&amp;S_Tree'!$F$43:$F$51</c:f>
              <c:numCache>
                <c:formatCode>General</c:formatCode>
                <c:ptCount val="9"/>
                <c:pt idx="0">
                  <c:v>80</c:v>
                </c:pt>
                <c:pt idx="1">
                  <c:v>85</c:v>
                </c:pt>
                <c:pt idx="2">
                  <c:v>90</c:v>
                </c:pt>
                <c:pt idx="3">
                  <c:v>95</c:v>
                </c:pt>
                <c:pt idx="4">
                  <c:v>100</c:v>
                </c:pt>
                <c:pt idx="5">
                  <c:v>105</c:v>
                </c:pt>
                <c:pt idx="6">
                  <c:v>110</c:v>
                </c:pt>
                <c:pt idx="7">
                  <c:v>115</c:v>
                </c:pt>
                <c:pt idx="8">
                  <c:v>120</c:v>
                </c:pt>
              </c:numCache>
            </c:numRef>
          </c:cat>
          <c:val>
            <c:numRef>
              <c:f>'Gap_B&amp;S_Tree'!$H$43:$H$51</c:f>
              <c:numCache>
                <c:formatCode>0.0000000</c:formatCode>
                <c:ptCount val="9"/>
                <c:pt idx="0">
                  <c:v>23.228334010412642</c:v>
                </c:pt>
                <c:pt idx="1">
                  <c:v>19.474939820490452</c:v>
                </c:pt>
                <c:pt idx="2">
                  <c:v>15.721545630568265</c:v>
                </c:pt>
                <c:pt idx="3">
                  <c:v>12.888017392356424</c:v>
                </c:pt>
                <c:pt idx="4">
                  <c:v>10.119833448803675</c:v>
                </c:pt>
                <c:pt idx="5">
                  <c:v>7.8981405314183624</c:v>
                </c:pt>
                <c:pt idx="6">
                  <c:v>6.2140736818280349</c:v>
                </c:pt>
                <c:pt idx="7">
                  <c:v>4.5300068322377056</c:v>
                </c:pt>
                <c:pt idx="8">
                  <c:v>3.4953191931763334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8D-0148-9131-0B13EA84A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71116480"/>
        <c:axId val="-1271126816"/>
      </c:lineChart>
      <c:lineChart>
        <c:grouping val="standard"/>
        <c:varyColors val="0"/>
        <c:ser>
          <c:idx val="2"/>
          <c:order val="2"/>
          <c:tx>
            <c:strRef>
              <c:f>'Gap_B&amp;S_Tree'!$I$36</c:f>
              <c:strCache>
                <c:ptCount val="1"/>
                <c:pt idx="0">
                  <c:v>Gap = (Tree-BS)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'Gap_B&amp;S_Tree'!$F$43:$F$51</c:f>
              <c:numCache>
                <c:formatCode>General</c:formatCode>
                <c:ptCount val="9"/>
                <c:pt idx="0">
                  <c:v>80</c:v>
                </c:pt>
                <c:pt idx="1">
                  <c:v>85</c:v>
                </c:pt>
                <c:pt idx="2">
                  <c:v>90</c:v>
                </c:pt>
                <c:pt idx="3">
                  <c:v>95</c:v>
                </c:pt>
                <c:pt idx="4">
                  <c:v>100</c:v>
                </c:pt>
                <c:pt idx="5">
                  <c:v>105</c:v>
                </c:pt>
                <c:pt idx="6">
                  <c:v>110</c:v>
                </c:pt>
                <c:pt idx="7">
                  <c:v>115</c:v>
                </c:pt>
                <c:pt idx="8">
                  <c:v>120</c:v>
                </c:pt>
              </c:numCache>
            </c:numRef>
          </c:cat>
          <c:val>
            <c:numRef>
              <c:f>'Gap_B&amp;S_Tree'!$I$43:$I$51</c:f>
              <c:numCache>
                <c:formatCode>0.0000000</c:formatCode>
                <c:ptCount val="9"/>
                <c:pt idx="0">
                  <c:v>-8.1274468512816611E-2</c:v>
                </c:pt>
                <c:pt idx="1">
                  <c:v>7.347328538712361E-2</c:v>
                </c:pt>
                <c:pt idx="2">
                  <c:v>-0.16241678495394751</c:v>
                </c:pt>
                <c:pt idx="3">
                  <c:v>9.3440695716966005E-2</c:v>
                </c:pt>
                <c:pt idx="4">
                  <c:v>-2.5783988974540151E-2</c:v>
                </c:pt>
                <c:pt idx="5">
                  <c:v>-2.7777953505821351E-2</c:v>
                </c:pt>
                <c:pt idx="6">
                  <c:v>0.1084286569605668</c:v>
                </c:pt>
                <c:pt idx="7">
                  <c:v>-0.11247220563553562</c:v>
                </c:pt>
                <c:pt idx="8">
                  <c:v>7.5824502028600804E-3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8D-0148-9131-0B13EA84AC02}"/>
            </c:ext>
          </c:extLst>
        </c:ser>
        <c:ser>
          <c:idx val="3"/>
          <c:order val="3"/>
          <c:tx>
            <c:strRef>
              <c:f>'Gap_B&amp;S_Tree'!$J$36</c:f>
              <c:strCache>
                <c:ptCount val="1"/>
                <c:pt idx="0">
                  <c:v>Slope BS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'Gap_B&amp;S_Tree'!$F$43:$F$51</c:f>
              <c:numCache>
                <c:formatCode>General</c:formatCode>
                <c:ptCount val="9"/>
                <c:pt idx="0">
                  <c:v>80</c:v>
                </c:pt>
                <c:pt idx="1">
                  <c:v>85</c:v>
                </c:pt>
                <c:pt idx="2">
                  <c:v>90</c:v>
                </c:pt>
                <c:pt idx="3">
                  <c:v>95</c:v>
                </c:pt>
                <c:pt idx="4">
                  <c:v>100</c:v>
                </c:pt>
                <c:pt idx="5">
                  <c:v>105</c:v>
                </c:pt>
                <c:pt idx="6">
                  <c:v>110</c:v>
                </c:pt>
                <c:pt idx="7">
                  <c:v>115</c:v>
                </c:pt>
                <c:pt idx="8">
                  <c:v>120</c:v>
                </c:pt>
              </c:numCache>
            </c:numRef>
          </c:cat>
          <c:val>
            <c:numRef>
              <c:f>'Gap_B&amp;S_Tree'!$J$43:$J$51</c:f>
              <c:numCache>
                <c:formatCode>0.0000000</c:formatCode>
                <c:ptCount val="9"/>
                <c:pt idx="0">
                  <c:v>-0.84779620867738215</c:v>
                </c:pt>
                <c:pt idx="1">
                  <c:v>-0.78162838876442609</c:v>
                </c:pt>
                <c:pt idx="2">
                  <c:v>-0.70350082391622304</c:v>
                </c:pt>
                <c:pt idx="3">
                  <c:v>-0.6178771437765509</c:v>
                </c:pt>
                <c:pt idx="4">
                  <c:v>-0.52979185177224863</c:v>
                </c:pt>
                <c:pt idx="5">
                  <c:v>-0.44393979057080629</c:v>
                </c:pt>
                <c:pt idx="6">
                  <c:v>-0.36405469201134311</c:v>
                </c:pt>
                <c:pt idx="7">
                  <c:v>-0.29263319739884536</c:v>
                </c:pt>
                <c:pt idx="8">
                  <c:v>-0.23094845897995356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8D-0148-9131-0B13EA84AC02}"/>
            </c:ext>
          </c:extLst>
        </c:ser>
        <c:ser>
          <c:idx val="4"/>
          <c:order val="4"/>
          <c:tx>
            <c:strRef>
              <c:f>'Gap_B&amp;S_Tree'!$K$36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'Gap_B&amp;S_Tree'!$F$43:$F$51</c:f>
              <c:numCache>
                <c:formatCode>General</c:formatCode>
                <c:ptCount val="9"/>
                <c:pt idx="0">
                  <c:v>80</c:v>
                </c:pt>
                <c:pt idx="1">
                  <c:v>85</c:v>
                </c:pt>
                <c:pt idx="2">
                  <c:v>90</c:v>
                </c:pt>
                <c:pt idx="3">
                  <c:v>95</c:v>
                </c:pt>
                <c:pt idx="4">
                  <c:v>100</c:v>
                </c:pt>
                <c:pt idx="5">
                  <c:v>105</c:v>
                </c:pt>
                <c:pt idx="6">
                  <c:v>110</c:v>
                </c:pt>
                <c:pt idx="7">
                  <c:v>115</c:v>
                </c:pt>
                <c:pt idx="8">
                  <c:v>120</c:v>
                </c:pt>
              </c:numCache>
            </c:numRef>
          </c:cat>
          <c:val>
            <c:numRef>
              <c:f>'Gap_B&amp;S_Tree'!$K$43:$K$51</c:f>
              <c:numCache>
                <c:formatCode>0.000000</c:formatCode>
                <c:ptCount val="9"/>
                <c:pt idx="0">
                  <c:v>-0.87165160796991614</c:v>
                </c:pt>
                <c:pt idx="1">
                  <c:v>-0.75067883798443802</c:v>
                </c:pt>
                <c:pt idx="2">
                  <c:v>-0.75067883798443735</c:v>
                </c:pt>
                <c:pt idx="3">
                  <c:v>-0.56670564764236819</c:v>
                </c:pt>
                <c:pt idx="4">
                  <c:v>-0.55363678871054989</c:v>
                </c:pt>
                <c:pt idx="5">
                  <c:v>-0.44433858347706251</c:v>
                </c:pt>
                <c:pt idx="6">
                  <c:v>-0.33681336991806549</c:v>
                </c:pt>
                <c:pt idx="7">
                  <c:v>-0.33681336991806587</c:v>
                </c:pt>
                <c:pt idx="8">
                  <c:v>-0.20693752781227445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8D-0148-9131-0B13EA84A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71113216"/>
        <c:axId val="-1271115392"/>
      </c:lineChart>
      <c:catAx>
        <c:axId val="-1271116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Stike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271126816"/>
        <c:crosses val="autoZero"/>
        <c:auto val="1"/>
        <c:lblAlgn val="ctr"/>
        <c:lblOffset val="100"/>
        <c:noMultiLvlLbl val="0"/>
      </c:catAx>
      <c:valAx>
        <c:axId val="-1271126816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Option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271116480"/>
        <c:crosses val="autoZero"/>
        <c:crossBetween val="between"/>
      </c:valAx>
      <c:valAx>
        <c:axId val="-12711153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Gap / Slope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271113216"/>
        <c:crosses val="max"/>
        <c:crossBetween val="between"/>
      </c:valAx>
      <c:catAx>
        <c:axId val="-127111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271115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5</xdr:row>
          <xdr:rowOff>152400</xdr:rowOff>
        </xdr:from>
        <xdr:to>
          <xdr:col>9</xdr:col>
          <xdr:colOff>9525</xdr:colOff>
          <xdr:row>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104775</xdr:rowOff>
    </xdr:to>
    <xdr:sp macro="" textlink="">
      <xdr:nvSpPr>
        <xdr:cNvPr id="1026" name="AutoShape 2" descr="Exemple de prix pour quelques jeux de paramètres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5276850" y="587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350608</xdr:colOff>
      <xdr:row>4</xdr:row>
      <xdr:rowOff>161534</xdr:rowOff>
    </xdr:from>
    <xdr:to>
      <xdr:col>22</xdr:col>
      <xdr:colOff>653507</xdr:colOff>
      <xdr:row>25</xdr:row>
      <xdr:rowOff>115454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307790</xdr:colOff>
      <xdr:row>34</xdr:row>
      <xdr:rowOff>82923</xdr:rowOff>
    </xdr:from>
    <xdr:to>
      <xdr:col>22</xdr:col>
      <xdr:colOff>485589</xdr:colOff>
      <xdr:row>56</xdr:row>
      <xdr:rowOff>121024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4</xdr:row>
          <xdr:rowOff>152400</xdr:rowOff>
        </xdr:from>
        <xdr:to>
          <xdr:col>13</xdr:col>
          <xdr:colOff>276225</xdr:colOff>
          <xdr:row>6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Tree Price for the range of nbsteps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35</xdr:row>
          <xdr:rowOff>66675</xdr:rowOff>
        </xdr:from>
        <xdr:to>
          <xdr:col>13</xdr:col>
          <xdr:colOff>114300</xdr:colOff>
          <xdr:row>38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Tree Price for the range of strikes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B2:N30"/>
  <sheetViews>
    <sheetView showGridLines="0" tabSelected="1" zoomScaleNormal="100" workbookViewId="0">
      <selection activeCell="E3" sqref="E3"/>
    </sheetView>
  </sheetViews>
  <sheetFormatPr baseColWidth="10" defaultColWidth="10.875" defaultRowHeight="15.75" x14ac:dyDescent="0.25"/>
  <cols>
    <col min="1" max="2" width="10.875" style="1"/>
    <col min="3" max="3" width="21" style="1" customWidth="1"/>
    <col min="4" max="4" width="15.625" style="1" bestFit="1" customWidth="1"/>
    <col min="5" max="5" width="10.875" style="1"/>
    <col min="6" max="6" width="27.625" style="1" bestFit="1" customWidth="1"/>
    <col min="7" max="7" width="16.625" style="1" bestFit="1" customWidth="1"/>
    <col min="8" max="8" width="13" style="1" bestFit="1" customWidth="1"/>
    <col min="9" max="9" width="25.875" style="1" bestFit="1" customWidth="1"/>
    <col min="10" max="16384" width="10.875" style="1"/>
  </cols>
  <sheetData>
    <row r="2" spans="2:14" ht="23.25" x14ac:dyDescent="0.35">
      <c r="B2" s="2" t="s">
        <v>9</v>
      </c>
    </row>
    <row r="3" spans="2:14" ht="23.25" x14ac:dyDescent="0.35">
      <c r="B3" s="2"/>
      <c r="G3" s="49"/>
    </row>
    <row r="4" spans="2:14" ht="16.5" thickBot="1" x14ac:dyDescent="0.3"/>
    <row r="5" spans="2:14" ht="16.5" thickBot="1" x14ac:dyDescent="0.3">
      <c r="B5" s="56" t="s">
        <v>8</v>
      </c>
      <c r="C5" s="57"/>
      <c r="D5" s="58"/>
    </row>
    <row r="6" spans="2:14" ht="16.5" thickBot="1" x14ac:dyDescent="0.3"/>
    <row r="7" spans="2:14" x14ac:dyDescent="0.25">
      <c r="B7" s="53" t="s">
        <v>38</v>
      </c>
      <c r="C7" s="42" t="s">
        <v>33</v>
      </c>
      <c r="D7" s="38">
        <v>44995</v>
      </c>
      <c r="N7" s="15"/>
    </row>
    <row r="8" spans="2:14" x14ac:dyDescent="0.25">
      <c r="B8" s="54"/>
      <c r="C8" s="41" t="s">
        <v>34</v>
      </c>
      <c r="D8" s="33">
        <v>100</v>
      </c>
    </row>
    <row r="9" spans="2:14" x14ac:dyDescent="0.25">
      <c r="B9" s="54"/>
      <c r="C9" s="41" t="s">
        <v>35</v>
      </c>
      <c r="D9" s="34">
        <v>0.02</v>
      </c>
    </row>
    <row r="10" spans="2:14" x14ac:dyDescent="0.25">
      <c r="B10" s="54"/>
      <c r="C10" s="41" t="s">
        <v>6</v>
      </c>
      <c r="D10" s="34">
        <v>0.2</v>
      </c>
    </row>
    <row r="11" spans="2:14" ht="16.5" thickBot="1" x14ac:dyDescent="0.3">
      <c r="B11" s="54"/>
      <c r="C11" s="41" t="s">
        <v>36</v>
      </c>
      <c r="D11" s="33">
        <v>0</v>
      </c>
    </row>
    <row r="12" spans="2:14" ht="16.5" thickBot="1" x14ac:dyDescent="0.3">
      <c r="B12" s="55"/>
      <c r="C12" s="43" t="s">
        <v>37</v>
      </c>
      <c r="D12" s="39">
        <v>44986</v>
      </c>
      <c r="G12" s="3" t="s">
        <v>10</v>
      </c>
      <c r="I12" s="3" t="s">
        <v>20</v>
      </c>
    </row>
    <row r="13" spans="2:14" ht="16.5" thickBot="1" x14ac:dyDescent="0.3">
      <c r="B13" s="40"/>
      <c r="D13" s="37"/>
    </row>
    <row r="14" spans="2:14" x14ac:dyDescent="0.25">
      <c r="B14" s="53" t="s">
        <v>39</v>
      </c>
      <c r="C14" s="42" t="s">
        <v>2</v>
      </c>
      <c r="D14" s="38">
        <v>45108</v>
      </c>
      <c r="F14" s="7" t="s">
        <v>43</v>
      </c>
      <c r="G14" s="48">
        <v>4.605588523177075</v>
      </c>
      <c r="I14" s="46">
        <v>0.21875</v>
      </c>
    </row>
    <row r="15" spans="2:14" ht="16.5" thickBot="1" x14ac:dyDescent="0.3">
      <c r="B15" s="54"/>
      <c r="C15" s="41" t="s">
        <v>11</v>
      </c>
      <c r="D15" s="33" t="s">
        <v>48</v>
      </c>
      <c r="F15" s="12" t="s">
        <v>44</v>
      </c>
      <c r="G15" s="50">
        <v>4.605588523177075</v>
      </c>
      <c r="I15" s="47">
        <v>0.1328125</v>
      </c>
    </row>
    <row r="16" spans="2:14" ht="16.5" thickBot="1" x14ac:dyDescent="0.3">
      <c r="B16" s="54"/>
      <c r="C16" s="41" t="s">
        <v>13</v>
      </c>
      <c r="D16" s="33" t="s">
        <v>18</v>
      </c>
    </row>
    <row r="17" spans="2:7" ht="16.5" thickBot="1" x14ac:dyDescent="0.3">
      <c r="B17" s="55"/>
      <c r="C17" s="43" t="s">
        <v>12</v>
      </c>
      <c r="D17" s="36">
        <v>101</v>
      </c>
      <c r="F17" s="7" t="s">
        <v>15</v>
      </c>
      <c r="G17" s="11" cm="1">
        <f t="array" ref="G17">IF(AND(EUUS="European", DivAmount = 0),BlackScholesCall(StockPrice,StrikePrice,Volatility,IntRate,0,(MatuDate-PriceDate)/365),"NA")</f>
        <v>4.2598040993926656</v>
      </c>
    </row>
    <row r="18" spans="2:7" ht="16.5" thickBot="1" x14ac:dyDescent="0.3">
      <c r="B18" s="40"/>
      <c r="D18" s="13"/>
      <c r="F18" s="12" t="s">
        <v>16</v>
      </c>
      <c r="G18" s="20" cm="1">
        <f t="array" ref="G18">IF(AND(EUUS="European",DivAmount=0),BlackScholesPut(StockPrice,StrikePrice,Volatility,IntRate,0,(MatuDate-PriceDate)/365),"NA")</f>
        <v>4.6363663231984216</v>
      </c>
    </row>
    <row r="19" spans="2:7" x14ac:dyDescent="0.25">
      <c r="B19" s="53" t="s">
        <v>40</v>
      </c>
      <c r="C19" s="42" t="s">
        <v>14</v>
      </c>
      <c r="D19" s="35">
        <v>20</v>
      </c>
    </row>
    <row r="20" spans="2:7" ht="16.5" thickBot="1" x14ac:dyDescent="0.3">
      <c r="B20" s="55"/>
      <c r="C20" s="43" t="s">
        <v>7</v>
      </c>
      <c r="D20" s="36">
        <f>SQRT(3)</f>
        <v>1.7320508075688772</v>
      </c>
    </row>
    <row r="21" spans="2:7" ht="16.5" thickBot="1" x14ac:dyDescent="0.3"/>
    <row r="22" spans="2:7" ht="15.75" customHeight="1" x14ac:dyDescent="0.25">
      <c r="B22" s="51" t="s">
        <v>41</v>
      </c>
      <c r="C22" s="42" t="s">
        <v>32</v>
      </c>
      <c r="D22" s="4" t="s">
        <v>42</v>
      </c>
    </row>
    <row r="23" spans="2:7" ht="16.5" thickBot="1" x14ac:dyDescent="0.3">
      <c r="B23" s="52"/>
      <c r="C23" s="43" t="s">
        <v>17</v>
      </c>
      <c r="D23" s="44" t="s">
        <v>45</v>
      </c>
    </row>
    <row r="24" spans="2:7" x14ac:dyDescent="0.25">
      <c r="F24" s="14"/>
      <c r="G24" s="14"/>
    </row>
    <row r="25" spans="2:7" x14ac:dyDescent="0.25">
      <c r="F25" s="13"/>
      <c r="G25" s="13"/>
    </row>
    <row r="26" spans="2:7" x14ac:dyDescent="0.25">
      <c r="F26" s="13"/>
      <c r="G26" s="13"/>
    </row>
    <row r="27" spans="2:7" x14ac:dyDescent="0.25">
      <c r="D27"/>
      <c r="F27"/>
      <c r="G27"/>
    </row>
    <row r="28" spans="2:7" x14ac:dyDescent="0.25">
      <c r="F28"/>
      <c r="G28"/>
    </row>
    <row r="29" spans="2:7" x14ac:dyDescent="0.25">
      <c r="F29"/>
      <c r="G29"/>
    </row>
    <row r="30" spans="2:7" x14ac:dyDescent="0.25">
      <c r="F30"/>
    </row>
  </sheetData>
  <mergeCells count="5">
    <mergeCell ref="B22:B23"/>
    <mergeCell ref="B7:B12"/>
    <mergeCell ref="B14:B17"/>
    <mergeCell ref="B19:B20"/>
    <mergeCell ref="B5:D5"/>
  </mergeCells>
  <dataValidations count="4">
    <dataValidation type="list" allowBlank="1" showInputMessage="1" showErrorMessage="1" sqref="D15" xr:uid="{00000000-0002-0000-0000-000000000000}">
      <formula1>"Call,Put"</formula1>
    </dataValidation>
    <dataValidation type="list" allowBlank="1" showInputMessage="1" showErrorMessage="1" sqref="D16" xr:uid="{00000000-0002-0000-0000-000001000000}">
      <formula1>"European, American"</formula1>
    </dataValidation>
    <dataValidation type="list" allowBlank="1" showInputMessage="1" showErrorMessage="1" sqref="D23" xr:uid="{00000000-0002-0000-0000-000002000000}">
      <formula1>"False,Option_Price,Underlying_Price,Proba_Up,Proba_Mid,Proba_Down"</formula1>
    </dataValidation>
    <dataValidation type="list" allowBlank="1" showInputMessage="1" showErrorMessage="1" sqref="D22" xr:uid="{A5995C1E-BBBE-4DC9-9EDC-A56C6BCDE972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4</xdr:col>
                    <xdr:colOff>790575</xdr:colOff>
                    <xdr:row>5</xdr:row>
                    <xdr:rowOff>152400</xdr:rowOff>
                  </from>
                  <to>
                    <xdr:col>9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E2297-3E59-474B-A647-102983D172ED}">
  <sheetPr codeName="Feuil8"/>
  <dimension ref="B2:V39"/>
  <sheetViews>
    <sheetView showGridLines="0" zoomScale="50" zoomScaleNormal="50" workbookViewId="0">
      <selection activeCell="I9" sqref="I9"/>
    </sheetView>
  </sheetViews>
  <sheetFormatPr baseColWidth="10" defaultRowHeight="15.75" x14ac:dyDescent="0.25"/>
  <sheetData>
    <row r="2" spans="2:22" ht="21" x14ac:dyDescent="0.35">
      <c r="B2" s="45" t="s">
        <v>45</v>
      </c>
    </row>
    <row r="12" spans="2:22" x14ac:dyDescent="0.25">
      <c r="T12">
        <v>0</v>
      </c>
      <c r="U12">
        <v>0</v>
      </c>
      <c r="V12">
        <v>0</v>
      </c>
    </row>
    <row r="13" spans="2:22" x14ac:dyDescent="0.25"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2:22" x14ac:dyDescent="0.25"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2:22" x14ac:dyDescent="0.25"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2:22" x14ac:dyDescent="0.25">
      <c r="K16">
        <v>1.638150497392774E-6</v>
      </c>
      <c r="L16">
        <v>3.5127275661919965E-7</v>
      </c>
      <c r="M16">
        <v>4.004171005210485E-8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2:22" x14ac:dyDescent="0.25">
      <c r="J17">
        <v>6.4739454218419351E-5</v>
      </c>
      <c r="K17">
        <v>2.588701777394423E-5</v>
      </c>
      <c r="L17">
        <v>8.3557020929529814E-6</v>
      </c>
      <c r="M17">
        <v>1.9328224403482873E-6</v>
      </c>
      <c r="N17">
        <v>2.3857514319131374E-7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2:22" x14ac:dyDescent="0.25">
      <c r="I18">
        <v>1.0236775082056472E-3</v>
      </c>
      <c r="J18">
        <v>5.6544174285688329E-4</v>
      </c>
      <c r="K18">
        <v>2.8064278958203349E-4</v>
      </c>
      <c r="L18">
        <v>1.2048999703901708E-4</v>
      </c>
      <c r="M18">
        <v>4.2017343679906333E-5</v>
      </c>
      <c r="N18">
        <v>1.056206173303083E-5</v>
      </c>
      <c r="O18">
        <v>1.4214702337808561E-6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2:22" x14ac:dyDescent="0.25">
      <c r="H19">
        <v>8.8177875346261599E-3</v>
      </c>
      <c r="I19">
        <v>5.9454140626899795E-3</v>
      </c>
      <c r="J19">
        <v>3.7761616390764334E-3</v>
      </c>
      <c r="K19">
        <v>2.2219734685340656E-3</v>
      </c>
      <c r="L19">
        <v>1.1822999166853007E-3</v>
      </c>
      <c r="M19">
        <v>5.48029636622798E-4</v>
      </c>
      <c r="N19">
        <v>2.0788226761529708E-4</v>
      </c>
      <c r="O19">
        <v>5.724633667205799E-5</v>
      </c>
      <c r="P19">
        <v>8.4693551830110118E-6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2:22" x14ac:dyDescent="0.25">
      <c r="G20">
        <v>4.859316545354752E-2</v>
      </c>
      <c r="H20">
        <v>3.7384818243101491E-2</v>
      </c>
      <c r="I20">
        <v>2.7783117254846126E-2</v>
      </c>
      <c r="J20">
        <v>1.9782219770069394E-2</v>
      </c>
      <c r="K20">
        <v>1.3345044966827115E-2</v>
      </c>
      <c r="L20">
        <v>8.3957319133792889E-3</v>
      </c>
      <c r="M20">
        <v>4.8126446615181376E-3</v>
      </c>
      <c r="N20">
        <v>2.4238580855137663E-3</v>
      </c>
      <c r="O20">
        <v>1.0083191760623252E-3</v>
      </c>
      <c r="P20">
        <v>3.0721588964503972E-4</v>
      </c>
      <c r="Q20">
        <v>5.0461821507994718E-5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2:22" x14ac:dyDescent="0.25">
      <c r="F21">
        <v>0.1895448222968325</v>
      </c>
      <c r="G21">
        <v>0.15951900183661066</v>
      </c>
      <c r="H21">
        <v>0.13158845896174626</v>
      </c>
      <c r="I21">
        <v>0.10595291975067858</v>
      </c>
      <c r="J21">
        <v>8.2815497157106913E-2</v>
      </c>
      <c r="K21">
        <v>6.2373974278100049E-2</v>
      </c>
      <c r="L21">
        <v>4.4807048517230677E-2</v>
      </c>
      <c r="M21">
        <v>3.0253602170497725E-2</v>
      </c>
      <c r="N21">
        <v>1.8782955710351764E-2</v>
      </c>
      <c r="O21">
        <v>1.0354865415185292E-2</v>
      </c>
      <c r="P21">
        <v>4.771127806974175E-3</v>
      </c>
      <c r="Q21">
        <v>1.6286563702762676E-3</v>
      </c>
      <c r="R21">
        <v>3.0065989380320619E-4</v>
      </c>
      <c r="S21">
        <v>0</v>
      </c>
      <c r="T21">
        <v>0</v>
      </c>
      <c r="U21">
        <v>0</v>
      </c>
      <c r="V21">
        <v>0</v>
      </c>
    </row>
    <row r="22" spans="2:22" x14ac:dyDescent="0.25">
      <c r="E22">
        <v>0.56194801857920296</v>
      </c>
      <c r="F22">
        <v>0.5028495052492864</v>
      </c>
      <c r="G22">
        <v>0.44492571834966277</v>
      </c>
      <c r="H22">
        <v>0.38844781606455381</v>
      </c>
      <c r="I22">
        <v>0.33373826503480619</v>
      </c>
      <c r="J22">
        <v>0.28118045247801726</v>
      </c>
      <c r="K22">
        <v>0.23122916932202386</v>
      </c>
      <c r="L22">
        <v>0.18442090295314711</v>
      </c>
      <c r="M22">
        <v>0.1413814682350728</v>
      </c>
      <c r="N22">
        <v>0.1028257718344766</v>
      </c>
      <c r="O22">
        <v>6.9539425933021523E-2</v>
      </c>
      <c r="P22">
        <v>4.2323045819751208E-2</v>
      </c>
      <c r="Q22">
        <v>2.1866178391848512E-2</v>
      </c>
      <c r="R22">
        <v>8.5015252989486968E-3</v>
      </c>
      <c r="S22">
        <v>1.7913814650438546E-3</v>
      </c>
      <c r="T22">
        <v>0</v>
      </c>
      <c r="U22">
        <v>0</v>
      </c>
      <c r="V22">
        <v>0</v>
      </c>
    </row>
    <row r="23" spans="2:22" x14ac:dyDescent="0.25">
      <c r="D23">
        <v>1.3366706247567028</v>
      </c>
      <c r="E23">
        <v>1.2467524453294858</v>
      </c>
      <c r="F23">
        <v>1.1558911320470844</v>
      </c>
      <c r="G23">
        <v>1.0641484419842651</v>
      </c>
      <c r="H23">
        <v>0.97161689105314475</v>
      </c>
      <c r="I23">
        <v>0.87843136287150603</v>
      </c>
      <c r="J23">
        <v>0.7847855930530091</v>
      </c>
      <c r="K23">
        <v>0.69095586628632111</v>
      </c>
      <c r="L23">
        <v>0.59733548941462322</v>
      </c>
      <c r="M23">
        <v>0.50448545123243804</v>
      </c>
      <c r="N23">
        <v>0.41320931485097889</v>
      </c>
      <c r="O23">
        <v>0.32466363969334572</v>
      </c>
      <c r="P23">
        <v>0.24051751552926853</v>
      </c>
      <c r="Q23">
        <v>0.16316974317123945</v>
      </c>
      <c r="R23">
        <v>9.5998514549541447E-2</v>
      </c>
      <c r="S23">
        <v>4.3490117615131878E-2</v>
      </c>
      <c r="T23">
        <v>1.0673347591225017E-2</v>
      </c>
      <c r="U23">
        <v>0</v>
      </c>
      <c r="V23">
        <v>0</v>
      </c>
    </row>
    <row r="24" spans="2:22" x14ac:dyDescent="0.25">
      <c r="C24">
        <v>2.6634002892106112</v>
      </c>
      <c r="D24">
        <v>2.5533479779327179</v>
      </c>
      <c r="E24">
        <v>2.4405131480990927</v>
      </c>
      <c r="F24">
        <v>2.3246900923234755</v>
      </c>
      <c r="G24">
        <v>2.2056473154941898</v>
      </c>
      <c r="H24">
        <v>2.083123184359299</v>
      </c>
      <c r="I24">
        <v>1.9568207830026429</v>
      </c>
      <c r="J24">
        <v>1.8264019592042877</v>
      </c>
      <c r="K24">
        <v>1.6914807428501033</v>
      </c>
      <c r="L24">
        <v>1.5516168305429396</v>
      </c>
      <c r="M24">
        <v>1.4063110966021051</v>
      </c>
      <c r="N24">
        <v>1.2550081784916571</v>
      </c>
      <c r="O24">
        <v>1.0971187475461524</v>
      </c>
      <c r="P24">
        <v>0.93209281275632239</v>
      </c>
      <c r="Q24">
        <v>0.75962250447878232</v>
      </c>
      <c r="R24">
        <v>0.58017298821084662</v>
      </c>
      <c r="S24">
        <v>0.39635142787150901</v>
      </c>
      <c r="T24">
        <v>0.21644072916485999</v>
      </c>
      <c r="U24">
        <v>6.3593573466104655E-2</v>
      </c>
      <c r="V24">
        <v>0</v>
      </c>
    </row>
    <row r="25" spans="2:22" x14ac:dyDescent="0.25">
      <c r="B25">
        <v>4.605588523177075</v>
      </c>
      <c r="C25">
        <v>4.4937495992442607</v>
      </c>
      <c r="D25">
        <v>4.3787598692436616</v>
      </c>
      <c r="E25">
        <v>4.2603524948178855</v>
      </c>
      <c r="F25">
        <v>4.1382188054681768</v>
      </c>
      <c r="G25">
        <v>4.0119997318553233</v>
      </c>
      <c r="H25">
        <v>3.881273621337058</v>
      </c>
      <c r="I25">
        <v>3.7455397736825438</v>
      </c>
      <c r="J25">
        <v>3.6041958125314446</v>
      </c>
      <c r="K25">
        <v>3.4565058406684388</v>
      </c>
      <c r="L25">
        <v>3.3015542709043291</v>
      </c>
      <c r="M25">
        <v>3.1381764491614814</v>
      </c>
      <c r="N25">
        <v>2.9648498587184009</v>
      </c>
      <c r="O25">
        <v>2.7795147371444515</v>
      </c>
      <c r="P25">
        <v>2.579260884665886</v>
      </c>
      <c r="Q25">
        <v>2.3597455736289166</v>
      </c>
      <c r="R25">
        <v>2.1140396750196482</v>
      </c>
      <c r="S25">
        <v>1.8301934808567895</v>
      </c>
      <c r="T25">
        <v>1.485804038730314</v>
      </c>
      <c r="U25">
        <v>1.0352916545866915</v>
      </c>
      <c r="V25">
        <v>0.3789010478318886</v>
      </c>
    </row>
    <row r="26" spans="2:22" x14ac:dyDescent="0.25">
      <c r="C26">
        <v>6.9209882510021403</v>
      </c>
      <c r="D26">
        <v>6.8198317933889614</v>
      </c>
      <c r="E26">
        <v>6.7162331096477859</v>
      </c>
      <c r="F26">
        <v>6.6100336135921305</v>
      </c>
      <c r="G26">
        <v>6.5010517034263318</v>
      </c>
      <c r="H26">
        <v>6.3890846087834783</v>
      </c>
      <c r="I26">
        <v>6.2739065570734125</v>
      </c>
      <c r="J26">
        <v>6.1552668643134689</v>
      </c>
      <c r="K26">
        <v>6.0328887532676916</v>
      </c>
      <c r="L26">
        <v>5.9064704770517995</v>
      </c>
      <c r="M26">
        <v>5.7756919586847966</v>
      </c>
      <c r="N26">
        <v>5.6402340089608121</v>
      </c>
      <c r="O26">
        <v>5.4998260959056493</v>
      </c>
      <c r="P26">
        <v>5.3543597520694384</v>
      </c>
      <c r="Q26">
        <v>5.2041560219005563</v>
      </c>
      <c r="R26">
        <v>5.0506030202703069</v>
      </c>
      <c r="S26">
        <v>4.8977039463253851</v>
      </c>
      <c r="T26">
        <v>4.7559143706142359</v>
      </c>
      <c r="U26">
        <v>4.6518487820530705</v>
      </c>
      <c r="V26">
        <v>4.6532891664089249</v>
      </c>
    </row>
    <row r="27" spans="2:22" x14ac:dyDescent="0.25">
      <c r="D27">
        <v>9.7724916220882854</v>
      </c>
      <c r="E27">
        <v>9.6974326764486136</v>
      </c>
      <c r="F27">
        <v>9.6217906958150348</v>
      </c>
      <c r="G27">
        <v>9.5456908029927305</v>
      </c>
      <c r="H27">
        <v>9.4692655636491505</v>
      </c>
      <c r="I27">
        <v>9.3926890885635306</v>
      </c>
      <c r="J27">
        <v>9.3161954100936111</v>
      </c>
      <c r="K27">
        <v>9.240102325016208</v>
      </c>
      <c r="L27">
        <v>9.1648440675826581</v>
      </c>
      <c r="M27">
        <v>9.0910178836785196</v>
      </c>
      <c r="N27">
        <v>9.0194509160236045</v>
      </c>
      <c r="O27">
        <v>8.9512954497316155</v>
      </c>
      <c r="P27">
        <v>8.8881599246456204</v>
      </c>
      <c r="Q27">
        <v>8.8322725291440261</v>
      </c>
      <c r="R27">
        <v>8.7866300828531152</v>
      </c>
      <c r="S27">
        <v>8.7549372896173061</v>
      </c>
      <c r="T27">
        <v>8.7406873968798529</v>
      </c>
      <c r="U27">
        <v>8.7433938368300268</v>
      </c>
      <c r="V27">
        <v>8.7461011147940866</v>
      </c>
    </row>
    <row r="28" spans="2:22" x14ac:dyDescent="0.25">
      <c r="E28">
        <v>13.017089355943993</v>
      </c>
      <c r="F28">
        <v>12.97404111911127</v>
      </c>
      <c r="G28">
        <v>12.93201438014945</v>
      </c>
      <c r="H28">
        <v>12.891418694356611</v>
      </c>
      <c r="I28">
        <v>12.852563857272848</v>
      </c>
      <c r="J28">
        <v>12.815791435759479</v>
      </c>
      <c r="K28">
        <v>12.781490046902777</v>
      </c>
      <c r="L28">
        <v>12.750105688673951</v>
      </c>
      <c r="M28">
        <v>12.722143813086856</v>
      </c>
      <c r="N28">
        <v>12.69816096062889</v>
      </c>
      <c r="O28">
        <v>12.678736665077023</v>
      </c>
      <c r="P28">
        <v>12.664408460261148</v>
      </c>
      <c r="Q28">
        <v>12.655542207921707</v>
      </c>
      <c r="R28">
        <v>12.652100989294409</v>
      </c>
      <c r="S28">
        <v>12.653292834123945</v>
      </c>
      <c r="T28">
        <v>12.657210761361549</v>
      </c>
      <c r="U28">
        <v>12.661129901734267</v>
      </c>
      <c r="V28">
        <v>12.665050255617743</v>
      </c>
    </row>
    <row r="29" spans="2:22" x14ac:dyDescent="0.25">
      <c r="F29">
        <v>16.464304333609078</v>
      </c>
      <c r="G29">
        <v>16.44873955626003</v>
      </c>
      <c r="H29">
        <v>16.433850060805252</v>
      </c>
      <c r="I29">
        <v>16.420670520173843</v>
      </c>
      <c r="J29">
        <v>16.409456798815985</v>
      </c>
      <c r="K29">
        <v>16.400385709367274</v>
      </c>
      <c r="L29">
        <v>16.393573451527821</v>
      </c>
      <c r="M29">
        <v>16.389084278013911</v>
      </c>
      <c r="N29">
        <v>16.386912255109213</v>
      </c>
      <c r="O29">
        <v>16.386952566755674</v>
      </c>
      <c r="P29">
        <v>16.3889685669145</v>
      </c>
      <c r="Q29">
        <v>16.392566427906907</v>
      </c>
      <c r="R29">
        <v>16.397204130796879</v>
      </c>
      <c r="S29">
        <v>16.402281311379554</v>
      </c>
      <c r="T29">
        <v>16.407360064045069</v>
      </c>
      <c r="U29">
        <v>16.412440389280146</v>
      </c>
      <c r="V29">
        <v>16.417522287571742</v>
      </c>
    </row>
    <row r="30" spans="2:22" x14ac:dyDescent="0.25">
      <c r="G30">
        <v>19.939148001289137</v>
      </c>
      <c r="H30">
        <v>19.944821794154333</v>
      </c>
      <c r="I30">
        <v>19.946014361243932</v>
      </c>
      <c r="J30">
        <v>19.947540247090984</v>
      </c>
      <c r="K30">
        <v>19.949844787246477</v>
      </c>
      <c r="L30">
        <v>19.9530897492021</v>
      </c>
      <c r="M30">
        <v>19.957226555777499</v>
      </c>
      <c r="N30">
        <v>19.962128864430188</v>
      </c>
      <c r="O30">
        <v>19.967625544537956</v>
      </c>
      <c r="P30">
        <v>19.973523685806843</v>
      </c>
      <c r="Q30">
        <v>19.9796378306946</v>
      </c>
      <c r="R30">
        <v>19.985824265188786</v>
      </c>
      <c r="S30">
        <v>19.99201261523179</v>
      </c>
      <c r="T30">
        <v>19.998202881416766</v>
      </c>
      <c r="U30">
        <v>20.004395064337018</v>
      </c>
      <c r="V30">
        <v>20.010589164586008</v>
      </c>
    </row>
    <row r="31" spans="2:22" x14ac:dyDescent="0.25">
      <c r="H31">
        <v>23.309626097473984</v>
      </c>
      <c r="I31">
        <v>23.3512823297356</v>
      </c>
      <c r="J31">
        <v>23.363023489588976</v>
      </c>
      <c r="K31">
        <v>23.371585321038133</v>
      </c>
      <c r="L31">
        <v>23.378863067475013</v>
      </c>
      <c r="M31">
        <v>23.385953293659288</v>
      </c>
      <c r="N31">
        <v>23.393077469093836</v>
      </c>
      <c r="O31">
        <v>23.40026750482135</v>
      </c>
      <c r="P31">
        <v>23.407501779505946</v>
      </c>
      <c r="Q31">
        <v>23.414749607402488</v>
      </c>
      <c r="R31">
        <v>23.421999679494462</v>
      </c>
      <c r="S31">
        <v>23.429251996476783</v>
      </c>
      <c r="T31">
        <v>23.436506559044581</v>
      </c>
      <c r="U31">
        <v>23.443763367893123</v>
      </c>
      <c r="V31">
        <v>23.451022423717973</v>
      </c>
    </row>
    <row r="32" spans="2:22" x14ac:dyDescent="0.25">
      <c r="I32">
        <v>26.406766358108875</v>
      </c>
      <c r="J32">
        <v>26.606549459107438</v>
      </c>
      <c r="K32">
        <v>26.640061527870479</v>
      </c>
      <c r="L32">
        <v>26.658864959547675</v>
      </c>
      <c r="M32">
        <v>26.669913497184407</v>
      </c>
      <c r="N32">
        <v>26.678976018254495</v>
      </c>
      <c r="O32">
        <v>26.687408329815817</v>
      </c>
      <c r="P32">
        <v>26.695671738034264</v>
      </c>
      <c r="Q32">
        <v>26.703937704909432</v>
      </c>
      <c r="R32">
        <v>26.712206231233495</v>
      </c>
      <c r="S32">
        <v>26.720477317798984</v>
      </c>
      <c r="T32">
        <v>26.728750965398671</v>
      </c>
      <c r="U32">
        <v>26.737027174825524</v>
      </c>
      <c r="V32">
        <v>26.745305946872776</v>
      </c>
    </row>
    <row r="33" spans="10:22" x14ac:dyDescent="0.25">
      <c r="J33">
        <v>28.57101989044795</v>
      </c>
      <c r="K33">
        <v>29.61915447600596</v>
      </c>
      <c r="L33">
        <v>29.736665157394704</v>
      </c>
      <c r="M33">
        <v>29.797729177688986</v>
      </c>
      <c r="N33">
        <v>29.820497433157964</v>
      </c>
      <c r="O33">
        <v>29.833889692993441</v>
      </c>
      <c r="P33">
        <v>29.844160111398455</v>
      </c>
      <c r="Q33">
        <v>29.853400966669621</v>
      </c>
      <c r="R33">
        <v>29.862644683251194</v>
      </c>
      <c r="S33">
        <v>29.871891262029116</v>
      </c>
      <c r="T33">
        <v>29.881140703889709</v>
      </c>
      <c r="U33">
        <v>29.890393009719443</v>
      </c>
      <c r="V33">
        <v>29.899648180405109</v>
      </c>
    </row>
    <row r="34" spans="10:22" x14ac:dyDescent="0.25">
      <c r="K34">
        <v>26.28136243771111</v>
      </c>
      <c r="L34">
        <v>32.038415426241713</v>
      </c>
      <c r="M34">
        <v>32.483801449507581</v>
      </c>
      <c r="N34">
        <v>32.747907722924126</v>
      </c>
      <c r="O34">
        <v>32.821937667088335</v>
      </c>
      <c r="P34">
        <v>32.852749228030824</v>
      </c>
      <c r="Q34">
        <v>32.869074909031099</v>
      </c>
      <c r="R34">
        <v>32.87925238975086</v>
      </c>
      <c r="S34">
        <v>32.889433021794893</v>
      </c>
      <c r="T34">
        <v>32.89961680613898</v>
      </c>
      <c r="U34">
        <v>32.909803743759177</v>
      </c>
      <c r="V34">
        <v>32.919993835631871</v>
      </c>
    </row>
    <row r="35" spans="10:22" x14ac:dyDescent="0.25">
      <c r="M35">
        <v>32.461995331481937</v>
      </c>
      <c r="N35">
        <v>34.037769451836752</v>
      </c>
      <c r="O35">
        <v>35.302503986748953</v>
      </c>
      <c r="P35">
        <v>35.610543215683229</v>
      </c>
      <c r="Q35">
        <v>35.71999214108525</v>
      </c>
      <c r="R35">
        <v>35.767714485902928</v>
      </c>
      <c r="S35">
        <v>35.778789492594683</v>
      </c>
      <c r="T35">
        <v>35.789867928517978</v>
      </c>
      <c r="U35">
        <v>35.800949794734571</v>
      </c>
      <c r="V35">
        <v>35.812035092306658</v>
      </c>
    </row>
    <row r="36" spans="10:22" x14ac:dyDescent="0.25">
      <c r="N36">
        <v>25.946890265159084</v>
      </c>
      <c r="O36">
        <v>30.207306148600736</v>
      </c>
      <c r="P36">
        <v>36.481513671943162</v>
      </c>
      <c r="Q36">
        <v>37.863565752947913</v>
      </c>
      <c r="R36">
        <v>38.315103263688719</v>
      </c>
      <c r="S36">
        <v>38.545405990389533</v>
      </c>
      <c r="T36">
        <v>38.557341073058836</v>
      </c>
      <c r="U36">
        <v>38.569279851270942</v>
      </c>
      <c r="V36">
        <v>38.58122232617017</v>
      </c>
    </row>
    <row r="37" spans="10:22" x14ac:dyDescent="0.25">
      <c r="Q37">
        <v>31.751416650859415</v>
      </c>
      <c r="R37">
        <v>38.134608004304042</v>
      </c>
      <c r="S37">
        <v>39.893403896559562</v>
      </c>
      <c r="T37">
        <v>41.207251852939663</v>
      </c>
      <c r="U37">
        <v>41.220011141493053</v>
      </c>
      <c r="V37">
        <v>41.232774380793906</v>
      </c>
    </row>
    <row r="38" spans="10:22" x14ac:dyDescent="0.25">
      <c r="S38">
        <v>30.778516748190111</v>
      </c>
      <c r="T38">
        <v>35.992468923506742</v>
      </c>
      <c r="U38">
        <v>43.758139265476139</v>
      </c>
      <c r="V38">
        <v>43.771688403075537</v>
      </c>
    </row>
    <row r="39" spans="10:22" x14ac:dyDescent="0.25">
      <c r="V39">
        <v>46.202749260922062</v>
      </c>
    </row>
  </sheetData>
  <conditionalFormatting sqref="A1:XF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B1:AA58"/>
  <sheetViews>
    <sheetView showGridLines="0" zoomScale="66" zoomScaleNormal="66" workbookViewId="0">
      <selection activeCell="D23" sqref="D23"/>
    </sheetView>
  </sheetViews>
  <sheetFormatPr baseColWidth="10" defaultRowHeight="15.75" x14ac:dyDescent="0.25"/>
  <cols>
    <col min="2" max="2" width="17.625" bestFit="1" customWidth="1"/>
    <col min="3" max="3" width="13.625" customWidth="1"/>
    <col min="7" max="8" width="13.625" bestFit="1" customWidth="1"/>
    <col min="9" max="9" width="17.625" bestFit="1" customWidth="1"/>
    <col min="10" max="10" width="18.625" customWidth="1"/>
    <col min="11" max="11" width="16.875" customWidth="1"/>
    <col min="25" max="25" width="12.125" bestFit="1" customWidth="1"/>
    <col min="26" max="26" width="21" bestFit="1" customWidth="1"/>
    <col min="27" max="27" width="13.625" bestFit="1" customWidth="1"/>
  </cols>
  <sheetData>
    <row r="1" spans="2:27" ht="16.5" thickBot="1" x14ac:dyDescent="0.3"/>
    <row r="2" spans="2:27" ht="16.5" thickBot="1" x14ac:dyDescent="0.3">
      <c r="E2" s="22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4"/>
    </row>
    <row r="3" spans="2:27" ht="24" thickBot="1" x14ac:dyDescent="0.4">
      <c r="B3" s="56" t="s">
        <v>8</v>
      </c>
      <c r="C3" s="58"/>
      <c r="E3" s="25"/>
      <c r="F3" s="26" t="s">
        <v>21</v>
      </c>
      <c r="W3" s="27"/>
      <c r="Y3" s="56" t="s">
        <v>8</v>
      </c>
      <c r="Z3" s="57"/>
      <c r="AA3" s="58"/>
    </row>
    <row r="4" spans="2:27" ht="16.5" thickBot="1" x14ac:dyDescent="0.3">
      <c r="B4" s="1"/>
      <c r="C4" s="1"/>
      <c r="E4" s="25"/>
      <c r="W4" s="27"/>
      <c r="Y4" s="1"/>
      <c r="Z4" s="1"/>
      <c r="AA4" s="1"/>
    </row>
    <row r="5" spans="2:27" ht="31.5" x14ac:dyDescent="0.25">
      <c r="B5" s="7" t="s">
        <v>11</v>
      </c>
      <c r="C5" s="4" t="s">
        <v>19</v>
      </c>
      <c r="E5" s="25"/>
      <c r="F5" s="17" t="s">
        <v>23</v>
      </c>
      <c r="G5" s="17" t="s">
        <v>22</v>
      </c>
      <c r="H5" s="17" t="s">
        <v>25</v>
      </c>
      <c r="I5" s="21" t="s">
        <v>24</v>
      </c>
      <c r="J5" s="21" t="s">
        <v>46</v>
      </c>
      <c r="K5" s="21" t="s">
        <v>47</v>
      </c>
      <c r="W5" s="27"/>
      <c r="Y5" s="53" t="s">
        <v>38</v>
      </c>
      <c r="Z5" s="42" t="s">
        <v>33</v>
      </c>
      <c r="AA5" s="38">
        <v>44833</v>
      </c>
    </row>
    <row r="6" spans="2:27" x14ac:dyDescent="0.25">
      <c r="B6" s="8" t="s">
        <v>13</v>
      </c>
      <c r="C6" s="5" t="s">
        <v>18</v>
      </c>
      <c r="E6" s="25"/>
      <c r="F6" s="16">
        <v>10</v>
      </c>
      <c r="G6" s="16">
        <f>$C$18</f>
        <v>15.883962415522213</v>
      </c>
      <c r="H6" s="16">
        <v>15.721545630568265</v>
      </c>
      <c r="I6" s="16">
        <f>(H6-G6)*F6</f>
        <v>-1.6241678495394751</v>
      </c>
      <c r="J6" s="16">
        <v>1.5625E-2</v>
      </c>
      <c r="K6" s="16"/>
      <c r="W6" s="27"/>
      <c r="Y6" s="54"/>
      <c r="Z6" s="41" t="s">
        <v>34</v>
      </c>
      <c r="AA6" s="33">
        <v>100</v>
      </c>
    </row>
    <row r="7" spans="2:27" x14ac:dyDescent="0.25">
      <c r="B7" s="8" t="s">
        <v>2</v>
      </c>
      <c r="C7" s="6">
        <v>45131</v>
      </c>
      <c r="E7" s="25"/>
      <c r="F7" s="16">
        <f>F6*2</f>
        <v>20</v>
      </c>
      <c r="G7" s="16">
        <f t="shared" ref="G7:G28" si="0">$C$18</f>
        <v>15.883962415522213</v>
      </c>
      <c r="H7" s="16">
        <v>15.927424089154231</v>
      </c>
      <c r="I7" s="16">
        <f>(H7-G7)*F7</f>
        <v>0.86923347264036721</v>
      </c>
      <c r="J7" s="16">
        <v>0</v>
      </c>
      <c r="K7" s="16"/>
      <c r="W7" s="27"/>
      <c r="Y7" s="54"/>
      <c r="Z7" s="41" t="s">
        <v>35</v>
      </c>
      <c r="AA7" s="34">
        <v>0.03</v>
      </c>
    </row>
    <row r="8" spans="2:27" x14ac:dyDescent="0.25">
      <c r="B8" s="8" t="s">
        <v>1</v>
      </c>
      <c r="C8" s="6">
        <v>44833</v>
      </c>
      <c r="E8" s="25"/>
      <c r="F8" s="16">
        <f>F7*2</f>
        <v>40</v>
      </c>
      <c r="G8" s="16">
        <f t="shared" si="0"/>
        <v>15.883962415522213</v>
      </c>
      <c r="H8" s="16">
        <v>15.856877620703591</v>
      </c>
      <c r="I8" s="16">
        <f t="shared" ref="I8:I16" si="1">(H8-G8)*F8</f>
        <v>-1.0833917927448766</v>
      </c>
      <c r="J8" s="16">
        <v>5.46875E-2</v>
      </c>
      <c r="K8" s="16"/>
      <c r="W8" s="27"/>
      <c r="Y8" s="54"/>
      <c r="Z8" s="41" t="s">
        <v>6</v>
      </c>
      <c r="AA8" s="34">
        <v>0.25</v>
      </c>
    </row>
    <row r="9" spans="2:27" x14ac:dyDescent="0.25">
      <c r="B9" s="8" t="s">
        <v>0</v>
      </c>
      <c r="C9" s="5">
        <v>100</v>
      </c>
      <c r="E9" s="25"/>
      <c r="F9" s="16">
        <f>F8*2</f>
        <v>80</v>
      </c>
      <c r="G9" s="16">
        <f t="shared" si="0"/>
        <v>15.883962415522213</v>
      </c>
      <c r="H9" s="16">
        <v>15.868076874658254</v>
      </c>
      <c r="I9" s="16">
        <f>(H9-G9)*F9</f>
        <v>-1.2708432691167104</v>
      </c>
      <c r="J9" s="16">
        <v>7.8125E-3</v>
      </c>
      <c r="K9" s="16"/>
      <c r="W9" s="27"/>
      <c r="Y9" s="54"/>
      <c r="Z9" s="41" t="s">
        <v>36</v>
      </c>
      <c r="AA9" s="33">
        <v>0</v>
      </c>
    </row>
    <row r="10" spans="2:27" ht="16.5" thickBot="1" x14ac:dyDescent="0.3">
      <c r="B10" s="8" t="s">
        <v>12</v>
      </c>
      <c r="C10" s="5">
        <v>90</v>
      </c>
      <c r="E10" s="25"/>
      <c r="F10" s="16">
        <v>100</v>
      </c>
      <c r="G10" s="16">
        <f t="shared" si="0"/>
        <v>15.883962415522213</v>
      </c>
      <c r="H10" s="16">
        <v>15.888052540631247</v>
      </c>
      <c r="I10" s="16">
        <f t="shared" si="1"/>
        <v>0.40901251090339485</v>
      </c>
      <c r="J10" s="16">
        <v>7.8125E-3</v>
      </c>
      <c r="K10" s="16"/>
      <c r="W10" s="27"/>
      <c r="Y10" s="55"/>
      <c r="Z10" s="43" t="s">
        <v>37</v>
      </c>
      <c r="AA10" s="39">
        <v>44958</v>
      </c>
    </row>
    <row r="11" spans="2:27" ht="16.5" thickBot="1" x14ac:dyDescent="0.3">
      <c r="B11" s="8" t="s">
        <v>3</v>
      </c>
      <c r="C11" s="6">
        <v>44958</v>
      </c>
      <c r="E11" s="25"/>
      <c r="F11" s="16">
        <f>F10+50</f>
        <v>150</v>
      </c>
      <c r="G11" s="16">
        <f t="shared" si="0"/>
        <v>15.883962415522213</v>
      </c>
      <c r="H11" s="16">
        <v>15.874693704697979</v>
      </c>
      <c r="I11" s="16">
        <f t="shared" si="1"/>
        <v>-1.3903066236350625</v>
      </c>
      <c r="J11" s="16">
        <v>3.125E-2</v>
      </c>
      <c r="K11" s="16"/>
      <c r="W11" s="27"/>
      <c r="Y11" s="40"/>
      <c r="Z11" s="1"/>
      <c r="AA11" s="37"/>
    </row>
    <row r="12" spans="2:27" x14ac:dyDescent="0.25">
      <c r="B12" s="8" t="s">
        <v>4</v>
      </c>
      <c r="C12" s="5">
        <v>0</v>
      </c>
      <c r="E12" s="25"/>
      <c r="F12" s="16">
        <f t="shared" ref="F12:F18" si="2">F11+50</f>
        <v>200</v>
      </c>
      <c r="G12" s="16">
        <f t="shared" si="0"/>
        <v>15.883962415522213</v>
      </c>
      <c r="H12" s="16">
        <v>15.88664108027197</v>
      </c>
      <c r="I12" s="16">
        <f t="shared" si="1"/>
        <v>0.5357329499513952</v>
      </c>
      <c r="J12" s="16">
        <v>3.125E-2</v>
      </c>
      <c r="K12" s="16"/>
      <c r="W12" s="27"/>
      <c r="Y12" s="53" t="s">
        <v>39</v>
      </c>
      <c r="Z12" s="42" t="s">
        <v>2</v>
      </c>
      <c r="AA12" s="38">
        <v>45131</v>
      </c>
    </row>
    <row r="13" spans="2:27" x14ac:dyDescent="0.25">
      <c r="B13" s="8" t="s">
        <v>5</v>
      </c>
      <c r="C13" s="9">
        <v>0.03</v>
      </c>
      <c r="E13" s="25"/>
      <c r="F13" s="16">
        <f t="shared" si="2"/>
        <v>250</v>
      </c>
      <c r="G13" s="16">
        <f t="shared" si="0"/>
        <v>15.883962415522213</v>
      </c>
      <c r="H13" s="16">
        <v>15.883891146617064</v>
      </c>
      <c r="I13" s="16">
        <f t="shared" si="1"/>
        <v>-1.7817226287242249E-2</v>
      </c>
      <c r="J13" s="16">
        <v>1.5625E-2</v>
      </c>
      <c r="K13" s="16"/>
      <c r="W13" s="27"/>
      <c r="Y13" s="54"/>
      <c r="Z13" s="41" t="s">
        <v>11</v>
      </c>
      <c r="AA13" s="33" t="s">
        <v>19</v>
      </c>
    </row>
    <row r="14" spans="2:27" x14ac:dyDescent="0.25">
      <c r="B14" s="8" t="s">
        <v>6</v>
      </c>
      <c r="C14" s="9">
        <v>0.25</v>
      </c>
      <c r="E14" s="25"/>
      <c r="F14" s="16">
        <f t="shared" si="2"/>
        <v>300</v>
      </c>
      <c r="G14" s="16">
        <f t="shared" si="0"/>
        <v>15.883962415522213</v>
      </c>
      <c r="H14" s="16">
        <v>15.884712379195999</v>
      </c>
      <c r="I14" s="16">
        <f t="shared" si="1"/>
        <v>0.22498910213606393</v>
      </c>
      <c r="J14" s="16">
        <v>3.125E-2</v>
      </c>
      <c r="K14" s="16"/>
      <c r="W14" s="27"/>
      <c r="Y14" s="54"/>
      <c r="Z14" s="41" t="s">
        <v>13</v>
      </c>
      <c r="AA14" s="33" t="s">
        <v>18</v>
      </c>
    </row>
    <row r="15" spans="2:27" ht="16.5" thickBot="1" x14ac:dyDescent="0.3">
      <c r="B15" s="8" t="s">
        <v>14</v>
      </c>
      <c r="C15" s="5">
        <v>20</v>
      </c>
      <c r="E15" s="25"/>
      <c r="F15" s="16">
        <f t="shared" si="2"/>
        <v>350</v>
      </c>
      <c r="G15" s="16">
        <f t="shared" si="0"/>
        <v>15.883962415522213</v>
      </c>
      <c r="H15" s="16">
        <v>15.882976387204966</v>
      </c>
      <c r="I15" s="16">
        <f t="shared" si="1"/>
        <v>-0.34510991103626765</v>
      </c>
      <c r="J15" s="16">
        <v>3.125E-2</v>
      </c>
      <c r="K15" s="16"/>
      <c r="W15" s="27"/>
      <c r="Y15" s="55"/>
      <c r="Z15" s="43" t="s">
        <v>12</v>
      </c>
      <c r="AA15" s="36">
        <v>90</v>
      </c>
    </row>
    <row r="16" spans="2:27" ht="16.5" thickBot="1" x14ac:dyDescent="0.3">
      <c r="B16" s="12" t="s">
        <v>7</v>
      </c>
      <c r="C16" s="31">
        <f>SQRT(3)</f>
        <v>1.7320508075688772</v>
      </c>
      <c r="E16" s="25"/>
      <c r="F16" s="16">
        <f t="shared" si="2"/>
        <v>400</v>
      </c>
      <c r="G16" s="16">
        <f t="shared" si="0"/>
        <v>15.883962415522213</v>
      </c>
      <c r="H16" s="16">
        <v>15.885275126468526</v>
      </c>
      <c r="I16" s="16">
        <f t="shared" si="1"/>
        <v>0.52508437852551992</v>
      </c>
      <c r="J16" s="16">
        <v>4.6875E-2</v>
      </c>
      <c r="K16" s="16"/>
      <c r="W16" s="27"/>
      <c r="Y16" s="40"/>
      <c r="Z16" s="1"/>
      <c r="AA16" s="13"/>
    </row>
    <row r="17" spans="2:27" ht="16.5" thickBot="1" x14ac:dyDescent="0.3">
      <c r="E17" s="25"/>
      <c r="F17" s="16">
        <f t="shared" si="2"/>
        <v>450</v>
      </c>
      <c r="G17" s="16">
        <f t="shared" si="0"/>
        <v>15.883962415522213</v>
      </c>
      <c r="H17" s="16">
        <v>15.879780561189651</v>
      </c>
      <c r="I17" s="16">
        <f t="shared" ref="I17:I27" si="3">(H17-G17)*F17</f>
        <v>-1.8818344496525086</v>
      </c>
      <c r="J17" s="16">
        <v>4.6875E-2</v>
      </c>
      <c r="K17" s="16"/>
      <c r="W17" s="27"/>
      <c r="Y17" s="53" t="s">
        <v>40</v>
      </c>
      <c r="Z17" s="42" t="s">
        <v>14</v>
      </c>
      <c r="AA17" s="35">
        <v>100</v>
      </c>
    </row>
    <row r="18" spans="2:27" ht="16.5" thickBot="1" x14ac:dyDescent="0.3">
      <c r="B18" s="10" t="s">
        <v>31</v>
      </c>
      <c r="C18" s="32" cm="1">
        <f t="array" ref="C18">BlackScholesCall(C9,C10,C14,C13,0,(C7-C8)/365)</f>
        <v>15.883962415522213</v>
      </c>
      <c r="E18" s="25"/>
      <c r="F18" s="16">
        <f t="shared" si="2"/>
        <v>500</v>
      </c>
      <c r="G18" s="16">
        <f t="shared" si="0"/>
        <v>15.883962415522213</v>
      </c>
      <c r="H18" s="16">
        <v>15.88478397777744</v>
      </c>
      <c r="I18" s="16">
        <f t="shared" si="3"/>
        <v>0.4107811276137241</v>
      </c>
      <c r="J18" s="16">
        <v>4.6875E-2</v>
      </c>
      <c r="K18" s="16"/>
      <c r="W18" s="27"/>
      <c r="Y18" s="55"/>
      <c r="Z18" s="43" t="s">
        <v>7</v>
      </c>
      <c r="AA18" s="36">
        <f>SQRT(3)</f>
        <v>1.7320508075688772</v>
      </c>
    </row>
    <row r="19" spans="2:27" ht="14.25" customHeight="1" x14ac:dyDescent="0.25">
      <c r="E19" s="25"/>
      <c r="F19" s="16">
        <v>550</v>
      </c>
      <c r="G19" s="16">
        <f t="shared" si="0"/>
        <v>15.883962415522213</v>
      </c>
      <c r="H19" s="16">
        <v>15.883439204505187</v>
      </c>
      <c r="I19" s="16">
        <f t="shared" si="3"/>
        <v>-0.28776605936400301</v>
      </c>
      <c r="J19" s="16">
        <v>6.25E-2</v>
      </c>
      <c r="K19" s="16"/>
      <c r="W19" s="27"/>
    </row>
    <row r="20" spans="2:27" x14ac:dyDescent="0.25">
      <c r="E20" s="25"/>
      <c r="F20" s="16">
        <f>F18+100</f>
        <v>600</v>
      </c>
      <c r="G20" s="16">
        <f t="shared" si="0"/>
        <v>15.883962415522213</v>
      </c>
      <c r="H20" s="16">
        <v>15.881799584357349</v>
      </c>
      <c r="I20" s="16">
        <f t="shared" si="3"/>
        <v>-1.2976986989180261</v>
      </c>
      <c r="J20" s="16">
        <v>6.25E-2</v>
      </c>
      <c r="K20" s="16"/>
      <c r="W20" s="27"/>
    </row>
    <row r="21" spans="2:27" x14ac:dyDescent="0.25">
      <c r="E21" s="25"/>
      <c r="F21" s="16">
        <v>650</v>
      </c>
      <c r="G21" s="16">
        <f t="shared" si="0"/>
        <v>15.883962415522213</v>
      </c>
      <c r="H21" s="16">
        <v>15.884289196881053</v>
      </c>
      <c r="I21" s="16">
        <f t="shared" si="3"/>
        <v>0.21240788324607962</v>
      </c>
      <c r="J21" s="16">
        <v>7.03125E-2</v>
      </c>
      <c r="K21" s="16"/>
      <c r="W21" s="27"/>
    </row>
    <row r="22" spans="2:27" x14ac:dyDescent="0.25">
      <c r="E22" s="25"/>
      <c r="F22" s="16">
        <f>F20+100</f>
        <v>700</v>
      </c>
      <c r="G22" s="16">
        <f t="shared" si="0"/>
        <v>15.883962415522213</v>
      </c>
      <c r="H22" s="16">
        <v>15.883162786840211</v>
      </c>
      <c r="I22" s="16">
        <f t="shared" si="3"/>
        <v>-0.55974007740093867</v>
      </c>
      <c r="J22" s="16">
        <v>7.8125E-2</v>
      </c>
      <c r="K22" s="16"/>
      <c r="W22" s="27"/>
    </row>
    <row r="23" spans="2:27" x14ac:dyDescent="0.25">
      <c r="E23" s="25"/>
      <c r="F23" s="16">
        <v>750</v>
      </c>
      <c r="G23" s="16">
        <f t="shared" si="0"/>
        <v>15.883962415522213</v>
      </c>
      <c r="H23" s="16">
        <v>15.881342122039639</v>
      </c>
      <c r="I23" s="16">
        <f t="shared" si="3"/>
        <v>-1.9652201119302326</v>
      </c>
      <c r="J23" s="16">
        <v>8.59375E-2</v>
      </c>
      <c r="K23" s="16"/>
      <c r="W23" s="27"/>
    </row>
    <row r="24" spans="2:27" x14ac:dyDescent="0.25">
      <c r="E24" s="25"/>
      <c r="F24" s="16">
        <f>F22+100</f>
        <v>800</v>
      </c>
      <c r="G24" s="16">
        <f t="shared" si="0"/>
        <v>15.883962415522213</v>
      </c>
      <c r="H24" s="16">
        <v>15.883603613844548</v>
      </c>
      <c r="I24" s="16">
        <f t="shared" si="3"/>
        <v>-0.2870413421319995</v>
      </c>
      <c r="J24" s="16">
        <v>9.375E-2</v>
      </c>
      <c r="K24" s="16"/>
      <c r="W24" s="27"/>
    </row>
    <row r="25" spans="2:27" x14ac:dyDescent="0.25">
      <c r="E25" s="25"/>
      <c r="F25" s="16">
        <v>850</v>
      </c>
      <c r="G25" s="16">
        <f t="shared" si="0"/>
        <v>15.883962415522213</v>
      </c>
      <c r="H25" s="16">
        <v>15.883413565263565</v>
      </c>
      <c r="I25" s="16">
        <f t="shared" si="3"/>
        <v>-0.46652271985054838</v>
      </c>
      <c r="J25" s="16">
        <v>0.1015625</v>
      </c>
      <c r="K25" s="16"/>
      <c r="W25" s="27"/>
    </row>
    <row r="26" spans="2:27" x14ac:dyDescent="0.25">
      <c r="E26" s="25"/>
      <c r="F26" s="16">
        <f t="shared" ref="F26" si="4">F24+100</f>
        <v>900</v>
      </c>
      <c r="G26" s="16">
        <f t="shared" si="0"/>
        <v>15.883962415522213</v>
      </c>
      <c r="H26" s="16">
        <v>15.881307713207626</v>
      </c>
      <c r="I26" s="16">
        <f t="shared" si="3"/>
        <v>-2.389232083127979</v>
      </c>
      <c r="J26" s="16">
        <v>0.1171875</v>
      </c>
      <c r="K26" s="16"/>
      <c r="W26" s="27"/>
    </row>
    <row r="27" spans="2:27" x14ac:dyDescent="0.25">
      <c r="E27" s="25"/>
      <c r="F27" s="16">
        <v>950</v>
      </c>
      <c r="G27" s="16">
        <f t="shared" si="0"/>
        <v>15.883962415522213</v>
      </c>
      <c r="H27" s="16">
        <v>15.882462440940007</v>
      </c>
      <c r="I27" s="16">
        <f t="shared" si="3"/>
        <v>-1.4249758530956669</v>
      </c>
      <c r="J27" s="16">
        <v>0.125</v>
      </c>
      <c r="K27" s="16"/>
      <c r="W27" s="27"/>
    </row>
    <row r="28" spans="2:27" x14ac:dyDescent="0.25">
      <c r="E28" s="25"/>
      <c r="F28" s="16">
        <f>F26+100</f>
        <v>1000</v>
      </c>
      <c r="G28" s="16">
        <f t="shared" si="0"/>
        <v>15.883962415522213</v>
      </c>
      <c r="H28" s="16">
        <v>15.8832907123639</v>
      </c>
      <c r="I28" s="16">
        <f>(H28-G28)*F28</f>
        <v>-0.67170315831255323</v>
      </c>
      <c r="J28" s="16">
        <v>0.125</v>
      </c>
      <c r="K28" s="16"/>
      <c r="W28" s="27"/>
    </row>
    <row r="29" spans="2:27" x14ac:dyDescent="0.25">
      <c r="E29" s="25"/>
      <c r="W29" s="27"/>
    </row>
    <row r="30" spans="2:27" ht="16.5" thickBot="1" x14ac:dyDescent="0.3">
      <c r="E30" s="28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30"/>
    </row>
    <row r="32" spans="2:27" ht="16.5" thickBot="1" x14ac:dyDescent="0.3"/>
    <row r="33" spans="2:23" ht="16.5" thickBot="1" x14ac:dyDescent="0.3">
      <c r="B33" s="56" t="s">
        <v>8</v>
      </c>
      <c r="C33" s="58"/>
      <c r="E33" s="22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4"/>
    </row>
    <row r="34" spans="2:23" ht="24" thickBot="1" x14ac:dyDescent="0.4">
      <c r="B34" s="1"/>
      <c r="C34" s="1"/>
      <c r="E34" s="25"/>
      <c r="F34" s="26" t="s">
        <v>28</v>
      </c>
      <c r="W34" s="27"/>
    </row>
    <row r="35" spans="2:23" x14ac:dyDescent="0.25">
      <c r="B35" s="7" t="s">
        <v>11</v>
      </c>
      <c r="C35" s="4" t="s">
        <v>19</v>
      </c>
      <c r="E35" s="25"/>
      <c r="W35" s="27"/>
    </row>
    <row r="36" spans="2:23" x14ac:dyDescent="0.25">
      <c r="B36" s="8" t="s">
        <v>13</v>
      </c>
      <c r="C36" s="5" t="s">
        <v>18</v>
      </c>
      <c r="E36" s="25"/>
      <c r="F36" s="17" t="s">
        <v>26</v>
      </c>
      <c r="G36" s="17" t="s">
        <v>22</v>
      </c>
      <c r="H36" s="17" t="s">
        <v>25</v>
      </c>
      <c r="I36" s="17" t="s">
        <v>27</v>
      </c>
      <c r="J36" s="17" t="s">
        <v>29</v>
      </c>
      <c r="K36" s="17" t="s">
        <v>30</v>
      </c>
      <c r="W36" s="27"/>
    </row>
    <row r="37" spans="2:23" x14ac:dyDescent="0.25">
      <c r="B37" s="8" t="s">
        <v>2</v>
      </c>
      <c r="C37" s="6">
        <v>45131</v>
      </c>
      <c r="E37" s="25"/>
      <c r="F37" s="16">
        <v>50</v>
      </c>
      <c r="G37" s="19" cm="1">
        <f t="array" ref="G37">BlackScholesCall($C$39,F37,$C$44,$C$43,0,($C$37-$C$38)/365)</f>
        <v>51.21294718624749</v>
      </c>
      <c r="H37" s="19">
        <v>51.213476385201453</v>
      </c>
      <c r="I37" s="19">
        <f>(H37-G37)</f>
        <v>5.2919895396286165E-4</v>
      </c>
      <c r="J37" s="16"/>
      <c r="K37" s="16"/>
      <c r="W37" s="27"/>
    </row>
    <row r="38" spans="2:23" x14ac:dyDescent="0.25">
      <c r="B38" s="8" t="s">
        <v>1</v>
      </c>
      <c r="C38" s="6">
        <v>44833</v>
      </c>
      <c r="E38" s="25"/>
      <c r="F38" s="16">
        <f>F37+5</f>
        <v>55</v>
      </c>
      <c r="G38" s="19" cm="1">
        <f t="array" ref="G38">BlackScholesCall($C$39,F38,$C$44,$C$43,0,($C$37-$C$38)/365)</f>
        <v>46.345317247448556</v>
      </c>
      <c r="H38" s="19">
        <v>46.34407023588571</v>
      </c>
      <c r="I38" s="19">
        <f t="shared" ref="I38:I56" si="5">(H38-G38)</f>
        <v>-1.2470115628460121E-3</v>
      </c>
      <c r="J38" s="19">
        <f>SLOPE(G37:G38,F37:F38)</f>
        <v>-0.97352598775978694</v>
      </c>
      <c r="K38" s="18">
        <f t="shared" ref="K38:K57" si="6">SLOPE(H37:H38,F37:F38)</f>
        <v>-0.97388122986314873</v>
      </c>
      <c r="W38" s="27"/>
    </row>
    <row r="39" spans="2:23" x14ac:dyDescent="0.25">
      <c r="B39" s="8" t="s">
        <v>0</v>
      </c>
      <c r="C39" s="5">
        <v>100</v>
      </c>
      <c r="E39" s="25"/>
      <c r="F39" s="16">
        <f t="shared" ref="F39:F57" si="7">F38+5</f>
        <v>60</v>
      </c>
      <c r="G39" s="19" cm="1">
        <f t="array" ref="G39">BlackScholesCall($C$39,F39,$C$44,$C$43,0,($C$37-$C$38)/365)</f>
        <v>41.50295104110689</v>
      </c>
      <c r="H39" s="19">
        <v>41.502306973221614</v>
      </c>
      <c r="I39" s="19">
        <f>(H39-G39)</f>
        <v>-6.4406788527548997E-4</v>
      </c>
      <c r="J39" s="19">
        <f t="shared" ref="J39:J57" si="8">SLOPE(G38:G39,F38:F39)</f>
        <v>-0.96847324126833312</v>
      </c>
      <c r="K39" s="18">
        <f t="shared" si="6"/>
        <v>-0.96835265253281899</v>
      </c>
      <c r="W39" s="27"/>
    </row>
    <row r="40" spans="2:23" x14ac:dyDescent="0.25">
      <c r="B40" s="8"/>
      <c r="C40" s="5"/>
      <c r="E40" s="25"/>
      <c r="F40" s="16">
        <f t="shared" si="7"/>
        <v>65</v>
      </c>
      <c r="G40" s="19" cm="1">
        <f t="array" ref="G40">BlackScholesCall($C$39,F40,$C$44,$C$43,0,($C$37-$C$38)/365)</f>
        <v>36.718521343726806</v>
      </c>
      <c r="H40" s="19">
        <v>36.73264740418886</v>
      </c>
      <c r="I40" s="19">
        <f t="shared" si="5"/>
        <v>1.4126060462054113E-2</v>
      </c>
      <c r="J40" s="19">
        <f t="shared" si="8"/>
        <v>-0.95688593947601674</v>
      </c>
      <c r="K40" s="18">
        <f t="shared" si="6"/>
        <v>-0.95393191380655085</v>
      </c>
      <c r="W40" s="27"/>
    </row>
    <row r="41" spans="2:23" x14ac:dyDescent="0.25">
      <c r="B41" s="8" t="s">
        <v>3</v>
      </c>
      <c r="C41" s="6">
        <v>44958</v>
      </c>
      <c r="E41" s="25"/>
      <c r="F41" s="16">
        <f t="shared" si="7"/>
        <v>70</v>
      </c>
      <c r="G41" s="19" cm="1">
        <f t="array" ref="G41">BlackScholesCall($C$39,F41,$C$44,$C$43,0,($C$37-$C$38)/365)</f>
        <v>32.044073501803389</v>
      </c>
      <c r="H41" s="19">
        <v>32.005895519618591</v>
      </c>
      <c r="I41" s="19">
        <f t="shared" si="5"/>
        <v>-3.8177982184798509E-2</v>
      </c>
      <c r="J41" s="19">
        <f t="shared" si="8"/>
        <v>-0.9348895683846834</v>
      </c>
      <c r="K41" s="18">
        <f t="shared" si="6"/>
        <v>-0.94535037691405388</v>
      </c>
      <c r="W41" s="27"/>
    </row>
    <row r="42" spans="2:23" x14ac:dyDescent="0.25">
      <c r="B42" s="8" t="s">
        <v>4</v>
      </c>
      <c r="C42" s="5">
        <v>0</v>
      </c>
      <c r="E42" s="25"/>
      <c r="F42" s="16">
        <f t="shared" si="7"/>
        <v>75</v>
      </c>
      <c r="G42" s="19" cm="1">
        <f t="array" ref="G42">BlackScholesCall($C$39,F42,$C$44,$C$43,0,($C$37-$C$38)/365)</f>
        <v>27.548589522312369</v>
      </c>
      <c r="H42" s="19">
        <v>27.586592050262222</v>
      </c>
      <c r="I42" s="19">
        <f t="shared" si="5"/>
        <v>3.800252794985326E-2</v>
      </c>
      <c r="J42" s="19">
        <f t="shared" si="8"/>
        <v>-0.89909679589820402</v>
      </c>
      <c r="K42" s="18">
        <f t="shared" si="6"/>
        <v>-0.88386069387127364</v>
      </c>
      <c r="W42" s="27"/>
    </row>
    <row r="43" spans="2:23" x14ac:dyDescent="0.25">
      <c r="B43" s="8" t="s">
        <v>5</v>
      </c>
      <c r="C43" s="9">
        <v>0.03</v>
      </c>
      <c r="E43" s="25"/>
      <c r="F43" s="16">
        <f t="shared" si="7"/>
        <v>80</v>
      </c>
      <c r="G43" s="19" cm="1">
        <f t="array" ref="G43">BlackScholesCall($C$39,F43,$C$44,$C$43,0,($C$37-$C$38)/365)</f>
        <v>23.309608478925458</v>
      </c>
      <c r="H43" s="19">
        <v>23.228334010412642</v>
      </c>
      <c r="I43" s="19">
        <f t="shared" si="5"/>
        <v>-8.1274468512816611E-2</v>
      </c>
      <c r="J43" s="19">
        <f t="shared" si="8"/>
        <v>-0.84779620867738215</v>
      </c>
      <c r="K43" s="18">
        <f t="shared" si="6"/>
        <v>-0.87165160796991614</v>
      </c>
      <c r="W43" s="27"/>
    </row>
    <row r="44" spans="2:23" x14ac:dyDescent="0.25">
      <c r="B44" s="8" t="s">
        <v>6</v>
      </c>
      <c r="C44" s="9">
        <v>0.25</v>
      </c>
      <c r="E44" s="25"/>
      <c r="F44" s="16">
        <f t="shared" si="7"/>
        <v>85</v>
      </c>
      <c r="G44" s="19" cm="1">
        <f t="array" ref="G44">BlackScholesCall($C$39,F44,$C$44,$C$43,0,($C$37-$C$38)/365)</f>
        <v>19.401466535103328</v>
      </c>
      <c r="H44" s="19">
        <v>19.474939820490452</v>
      </c>
      <c r="I44" s="19">
        <f t="shared" si="5"/>
        <v>7.347328538712361E-2</v>
      </c>
      <c r="J44" s="19">
        <f t="shared" si="8"/>
        <v>-0.78162838876442609</v>
      </c>
      <c r="K44" s="18">
        <f t="shared" si="6"/>
        <v>-0.75067883798443802</v>
      </c>
      <c r="W44" s="27"/>
    </row>
    <row r="45" spans="2:23" x14ac:dyDescent="0.25">
      <c r="B45" s="8" t="s">
        <v>14</v>
      </c>
      <c r="C45" s="5">
        <v>20</v>
      </c>
      <c r="E45" s="25"/>
      <c r="F45" s="16">
        <f t="shared" si="7"/>
        <v>90</v>
      </c>
      <c r="G45" s="19" cm="1">
        <f t="array" ref="G45">BlackScholesCall($C$39,F45,$C$44,$C$43,0,($C$37-$C$38)/365)</f>
        <v>15.883962415522213</v>
      </c>
      <c r="H45" s="19">
        <v>15.721545630568265</v>
      </c>
      <c r="I45" s="19">
        <f t="shared" si="5"/>
        <v>-0.16241678495394751</v>
      </c>
      <c r="J45" s="19">
        <f t="shared" si="8"/>
        <v>-0.70350082391622304</v>
      </c>
      <c r="K45" s="18">
        <f t="shared" si="6"/>
        <v>-0.75067883798443735</v>
      </c>
      <c r="W45" s="27"/>
    </row>
    <row r="46" spans="2:23" ht="16.5" thickBot="1" x14ac:dyDescent="0.3">
      <c r="B46" s="12" t="s">
        <v>7</v>
      </c>
      <c r="C46" s="31">
        <f>SQRT(3)</f>
        <v>1.7320508075688772</v>
      </c>
      <c r="E46" s="25"/>
      <c r="F46" s="16">
        <f t="shared" si="7"/>
        <v>95</v>
      </c>
      <c r="G46" s="19" cm="1">
        <f t="array" ref="G46">BlackScholesCall($C$39,F46,$C$44,$C$43,0,($C$37-$C$38)/365)</f>
        <v>12.794576696639458</v>
      </c>
      <c r="H46" s="19">
        <v>12.888017392356424</v>
      </c>
      <c r="I46" s="19">
        <f t="shared" si="5"/>
        <v>9.3440695716966005E-2</v>
      </c>
      <c r="J46" s="19">
        <f t="shared" si="8"/>
        <v>-0.6178771437765509</v>
      </c>
      <c r="K46" s="18">
        <f t="shared" si="6"/>
        <v>-0.56670564764236819</v>
      </c>
      <c r="W46" s="27"/>
    </row>
    <row r="47" spans="2:23" x14ac:dyDescent="0.25">
      <c r="E47" s="25"/>
      <c r="F47" s="16">
        <f t="shared" si="7"/>
        <v>100</v>
      </c>
      <c r="G47" s="19" cm="1">
        <f t="array" ref="G47">BlackScholesCall($C$39,F47,$C$44,$C$43,0,($C$37-$C$38)/365)</f>
        <v>10.145617437778215</v>
      </c>
      <c r="H47" s="19">
        <v>10.119833448803675</v>
      </c>
      <c r="I47" s="19">
        <f t="shared" si="5"/>
        <v>-2.5783988974540151E-2</v>
      </c>
      <c r="J47" s="19">
        <f t="shared" si="8"/>
        <v>-0.52979185177224863</v>
      </c>
      <c r="K47" s="18">
        <f t="shared" si="6"/>
        <v>-0.55363678871054989</v>
      </c>
      <c r="W47" s="27"/>
    </row>
    <row r="48" spans="2:23" x14ac:dyDescent="0.25">
      <c r="E48" s="25"/>
      <c r="F48" s="16">
        <f t="shared" si="7"/>
        <v>105</v>
      </c>
      <c r="G48" s="19" cm="1">
        <f t="array" ref="G48">BlackScholesCall($C$39,F48,$C$44,$C$43,0,($C$37-$C$38)/365)</f>
        <v>7.9259184849241837</v>
      </c>
      <c r="H48" s="19">
        <v>7.8981405314183624</v>
      </c>
      <c r="I48" s="19">
        <f t="shared" si="5"/>
        <v>-2.7777953505821351E-2</v>
      </c>
      <c r="J48" s="19">
        <f t="shared" si="8"/>
        <v>-0.44393979057080629</v>
      </c>
      <c r="K48" s="18">
        <f t="shared" si="6"/>
        <v>-0.44433858347706251</v>
      </c>
      <c r="W48" s="27"/>
    </row>
    <row r="49" spans="5:23" x14ac:dyDescent="0.25">
      <c r="E49" s="25"/>
      <c r="F49" s="16">
        <f t="shared" si="7"/>
        <v>110</v>
      </c>
      <c r="G49" s="19" cm="1">
        <f t="array" ref="G49">BlackScholesCall($C$39,F49,$C$44,$C$43,0,($C$37-$C$38)/365)</f>
        <v>6.1056450248674681</v>
      </c>
      <c r="H49" s="19">
        <v>6.2140736818280349</v>
      </c>
      <c r="I49" s="19">
        <f t="shared" si="5"/>
        <v>0.1084286569605668</v>
      </c>
      <c r="J49" s="19">
        <f t="shared" si="8"/>
        <v>-0.36405469201134311</v>
      </c>
      <c r="K49" s="18">
        <f t="shared" si="6"/>
        <v>-0.33681336991806549</v>
      </c>
      <c r="W49" s="27"/>
    </row>
    <row r="50" spans="5:23" x14ac:dyDescent="0.25">
      <c r="E50" s="25"/>
      <c r="F50" s="16">
        <f t="shared" si="7"/>
        <v>115</v>
      </c>
      <c r="G50" s="19" cm="1">
        <f t="array" ref="G50">BlackScholesCall($C$39,F50,$C$44,$C$43,0,($C$37-$C$38)/365)</f>
        <v>4.6424790378732412</v>
      </c>
      <c r="H50" s="19">
        <v>4.5300068322377056</v>
      </c>
      <c r="I50" s="19">
        <f t="shared" si="5"/>
        <v>-0.11247220563553562</v>
      </c>
      <c r="J50" s="19">
        <f t="shared" si="8"/>
        <v>-0.29263319739884536</v>
      </c>
      <c r="K50" s="18">
        <f t="shared" si="6"/>
        <v>-0.33681336991806587</v>
      </c>
      <c r="W50" s="27"/>
    </row>
    <row r="51" spans="5:23" x14ac:dyDescent="0.25">
      <c r="E51" s="25"/>
      <c r="F51" s="16">
        <f t="shared" si="7"/>
        <v>120</v>
      </c>
      <c r="G51" s="19" cm="1">
        <f t="array" ref="G51">BlackScholesCall($C$39,F51,$C$44,$C$43,0,($C$37-$C$38)/365)</f>
        <v>3.4877367429734734</v>
      </c>
      <c r="H51" s="19">
        <v>3.4953191931763334</v>
      </c>
      <c r="I51" s="19">
        <f t="shared" si="5"/>
        <v>7.5824502028600804E-3</v>
      </c>
      <c r="J51" s="19">
        <f t="shared" si="8"/>
        <v>-0.23094845897995356</v>
      </c>
      <c r="K51" s="18">
        <f t="shared" si="6"/>
        <v>-0.20693752781227445</v>
      </c>
      <c r="W51" s="27"/>
    </row>
    <row r="52" spans="5:23" x14ac:dyDescent="0.25">
      <c r="E52" s="25"/>
      <c r="F52" s="16">
        <f t="shared" si="7"/>
        <v>125</v>
      </c>
      <c r="G52" s="19" cm="1">
        <f t="array" ref="G52">BlackScholesCall($C$39,F52,$C$44,$C$43,0,($C$37-$C$38)/365)</f>
        <v>2.5914939881611874</v>
      </c>
      <c r="H52" s="19">
        <v>2.6796757256120198</v>
      </c>
      <c r="I52" s="19">
        <f t="shared" si="5"/>
        <v>8.8181737450832465E-2</v>
      </c>
      <c r="J52" s="19">
        <f t="shared" si="8"/>
        <v>-0.1792485509624572</v>
      </c>
      <c r="K52" s="18">
        <f t="shared" si="6"/>
        <v>-0.16312869351286274</v>
      </c>
      <c r="W52" s="27"/>
    </row>
    <row r="53" spans="5:23" x14ac:dyDescent="0.25">
      <c r="E53" s="25"/>
      <c r="F53" s="16">
        <f t="shared" si="7"/>
        <v>130</v>
      </c>
      <c r="G53" s="19" cm="1">
        <f t="array" ref="G53">BlackScholesCall($C$39,F53,$C$44,$C$43,0,($C$37-$C$38)/365)</f>
        <v>1.9063170582188234</v>
      </c>
      <c r="H53" s="19">
        <v>1.8640322580477062</v>
      </c>
      <c r="I53" s="19">
        <f t="shared" si="5"/>
        <v>-4.2284800171117132E-2</v>
      </c>
      <c r="J53" s="19">
        <f t="shared" si="8"/>
        <v>-0.13703538598847281</v>
      </c>
      <c r="K53" s="18">
        <f t="shared" si="6"/>
        <v>-0.16312869351286274</v>
      </c>
      <c r="W53" s="27"/>
    </row>
    <row r="54" spans="5:23" x14ac:dyDescent="0.25">
      <c r="E54" s="25"/>
      <c r="F54" s="16">
        <f t="shared" si="7"/>
        <v>135</v>
      </c>
      <c r="G54" s="19" cm="1">
        <f t="array" ref="G54">BlackScholesCall($C$39,F54,$C$44,$C$43,0,($C$37-$C$38)/365)</f>
        <v>1.3895865791549653</v>
      </c>
      <c r="H54" s="19">
        <v>1.3638712078236732</v>
      </c>
      <c r="I54" s="19">
        <f t="shared" si="5"/>
        <v>-2.5715371331292092E-2</v>
      </c>
      <c r="J54" s="19">
        <f t="shared" si="8"/>
        <v>-0.1033460958127716</v>
      </c>
      <c r="K54" s="18">
        <f t="shared" si="6"/>
        <v>-0.10003221004480661</v>
      </c>
      <c r="W54" s="27"/>
    </row>
    <row r="55" spans="5:23" x14ac:dyDescent="0.25">
      <c r="E55" s="25"/>
      <c r="F55" s="16">
        <f t="shared" si="7"/>
        <v>140</v>
      </c>
      <c r="G55" s="19" cm="1">
        <f t="array" ref="G55">BlackScholesCall($C$39,F55,$C$44,$C$43,0,($C$37-$C$38)/365)</f>
        <v>1.0046299966608567</v>
      </c>
      <c r="H55" s="19">
        <v>1.0564364408744604</v>
      </c>
      <c r="I55" s="19">
        <f t="shared" si="5"/>
        <v>5.1806444213603697E-2</v>
      </c>
      <c r="J55" s="19">
        <f t="shared" si="8"/>
        <v>-7.699131649882171E-2</v>
      </c>
      <c r="K55" s="18">
        <f t="shared" si="6"/>
        <v>-6.1486953389842558E-2</v>
      </c>
      <c r="W55" s="27"/>
    </row>
    <row r="56" spans="5:23" x14ac:dyDescent="0.25">
      <c r="E56" s="25"/>
      <c r="F56" s="16">
        <f t="shared" si="7"/>
        <v>145</v>
      </c>
      <c r="G56" s="19" cm="1">
        <f t="array" ref="G56">BlackScholesCall($C$39,F56,$C$44,$C$43,0,($C$37-$C$38)/365)</f>
        <v>0.72096877030669937</v>
      </c>
      <c r="H56" s="19">
        <v>0.74900167392524775</v>
      </c>
      <c r="I56" s="19">
        <f t="shared" si="5"/>
        <v>2.8032903618548377E-2</v>
      </c>
      <c r="J56" s="19">
        <f t="shared" si="8"/>
        <v>-5.6732245270831469E-2</v>
      </c>
      <c r="K56" s="18">
        <f t="shared" si="6"/>
        <v>-6.1486953389842537E-2</v>
      </c>
      <c r="W56" s="27"/>
    </row>
    <row r="57" spans="5:23" x14ac:dyDescent="0.25">
      <c r="E57" s="25"/>
      <c r="F57" s="16">
        <f t="shared" si="7"/>
        <v>150</v>
      </c>
      <c r="G57" s="19" cm="1">
        <f t="array" ref="G57">BlackScholesCall($C$39,F57,$C$44,$C$43,0,($C$37-$C$38)/365)</f>
        <v>0.51398532539663233</v>
      </c>
      <c r="H57" s="19">
        <v>0.45758482726654776</v>
      </c>
      <c r="I57" s="19">
        <f>(H57-G57)</f>
        <v>-5.6400498130084575E-2</v>
      </c>
      <c r="J57" s="19">
        <f t="shared" si="8"/>
        <v>-4.1396688982013409E-2</v>
      </c>
      <c r="K57" s="18">
        <f t="shared" si="6"/>
        <v>-5.8283369331739998E-2</v>
      </c>
      <c r="W57" s="27"/>
    </row>
    <row r="58" spans="5:23" ht="16.5" thickBot="1" x14ac:dyDescent="0.3">
      <c r="E58" s="28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30"/>
    </row>
  </sheetData>
  <mergeCells count="6">
    <mergeCell ref="B3:C3"/>
    <mergeCell ref="B33:C33"/>
    <mergeCell ref="Y3:AA3"/>
    <mergeCell ref="Y5:Y10"/>
    <mergeCell ref="Y12:Y15"/>
    <mergeCell ref="Y17:Y18"/>
  </mergeCells>
  <dataValidations count="2">
    <dataValidation type="list" allowBlank="1" showInputMessage="1" showErrorMessage="1" sqref="C6 C36 AA14" xr:uid="{D67FBCEF-7047-40B2-B476-3C969C5B5D11}">
      <formula1>"European, American"</formula1>
    </dataValidation>
    <dataValidation type="list" allowBlank="1" showInputMessage="1" showErrorMessage="1" sqref="C5 C35 AA13" xr:uid="{2C2BF55C-77EF-4377-A5CA-8499493B91BC}">
      <formula1>"Call,Put"</formula1>
    </dataValidation>
  </dataValidations>
  <pageMargins left="0.7" right="0.7" top="0.75" bottom="0.75" header="0.3" footer="0.3"/>
  <pageSetup paperSize="9" orientation="portrait" r:id="rId1"/>
  <ignoredErrors>
    <ignoredError sqref="K57 K38:K5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uteGapbySteps">
                <anchor moveWithCells="1" sizeWithCells="1">
                  <from>
                    <xdr:col>11</xdr:col>
                    <xdr:colOff>447675</xdr:colOff>
                    <xdr:row>4</xdr:row>
                    <xdr:rowOff>152400</xdr:rowOff>
                  </from>
                  <to>
                    <xdr:col>13</xdr:col>
                    <xdr:colOff>276225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omputeGapbyStrikes">
                <anchor moveWithCells="1" sizeWithCells="1">
                  <from>
                    <xdr:col>11</xdr:col>
                    <xdr:colOff>257175</xdr:colOff>
                    <xdr:row>35</xdr:row>
                    <xdr:rowOff>66675</xdr:rowOff>
                  </from>
                  <to>
                    <xdr:col>13</xdr:col>
                    <xdr:colOff>114300</xdr:colOff>
                    <xdr:row>38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28</vt:i4>
      </vt:variant>
    </vt:vector>
  </HeadingPairs>
  <TitlesOfParts>
    <vt:vector size="31" baseType="lpstr">
      <vt:lpstr>Pricing</vt:lpstr>
      <vt:lpstr>Tree</vt:lpstr>
      <vt:lpstr>Gap_B&amp;S_Tree</vt:lpstr>
      <vt:lpstr>CallPut</vt:lpstr>
      <vt:lpstr>DivAmount</vt:lpstr>
      <vt:lpstr>DivDate</vt:lpstr>
      <vt:lpstr>EUUS</vt:lpstr>
      <vt:lpstr>IntRate</vt:lpstr>
      <vt:lpstr>MatuDate</vt:lpstr>
      <vt:lpstr>Multiplicator</vt:lpstr>
      <vt:lpstr>NbSteps</vt:lpstr>
      <vt:lpstr>PriceDate</vt:lpstr>
      <vt:lpstr>Pruning</vt:lpstr>
      <vt:lpstr>ResPrice</vt:lpstr>
      <vt:lpstr>rg_bsprice</vt:lpstr>
      <vt:lpstr>rg_bsprice2</vt:lpstr>
      <vt:lpstr>rg_gapsbyK</vt:lpstr>
      <vt:lpstr>rg_gapsbysteps</vt:lpstr>
      <vt:lpstr>rg_nbsteps</vt:lpstr>
      <vt:lpstr>rg_priceT</vt:lpstr>
      <vt:lpstr>rg_priceT2</vt:lpstr>
      <vt:lpstr>rg_strike</vt:lpstr>
      <vt:lpstr>rg_timeNR</vt:lpstr>
      <vt:lpstr>rg_timeR</vt:lpstr>
      <vt:lpstr>rg_tree</vt:lpstr>
      <vt:lpstr>StockPrice</vt:lpstr>
      <vt:lpstr>StrikePrice</vt:lpstr>
      <vt:lpstr>Tree_name</vt:lpstr>
      <vt:lpstr>VB_exctime</vt:lpstr>
      <vt:lpstr>Volatility</vt:lpstr>
      <vt:lpstr>what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Alexis VICINI</cp:lastModifiedBy>
  <dcterms:created xsi:type="dcterms:W3CDTF">2022-09-29T12:44:55Z</dcterms:created>
  <dcterms:modified xsi:type="dcterms:W3CDTF">2023-03-16T09:50:15Z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eb3f8df-33d6-400f-b44b-d25e0e34b758_Enabled">
    <vt:lpwstr>true</vt:lpwstr>
  </property>
  <property fmtid="{D5CDD505-2E9C-101B-9397-08002B2CF9AE}" pid="3" name="MSIP_Label_5eb3f8df-33d6-400f-b44b-d25e0e34b758_SetDate">
    <vt:lpwstr>2022-11-06T13:48:24Z</vt:lpwstr>
  </property>
  <property fmtid="{D5CDD505-2E9C-101B-9397-08002B2CF9AE}" pid="4" name="MSIP_Label_5eb3f8df-33d6-400f-b44b-d25e0e34b758_Method">
    <vt:lpwstr>Privileged</vt:lpwstr>
  </property>
  <property fmtid="{D5CDD505-2E9C-101B-9397-08002B2CF9AE}" pid="5" name="MSIP_Label_5eb3f8df-33d6-400f-b44b-d25e0e34b758_Name">
    <vt:lpwstr>5eb3f8df-33d6-400f-b44b-d25e0e34b758</vt:lpwstr>
  </property>
  <property fmtid="{D5CDD505-2E9C-101B-9397-08002B2CF9AE}" pid="6" name="MSIP_Label_5eb3f8df-33d6-400f-b44b-d25e0e34b758_SiteId">
    <vt:lpwstr>6eab6365-8194-49c6-a4d0-e2d1a0fbeb74</vt:lpwstr>
  </property>
  <property fmtid="{D5CDD505-2E9C-101B-9397-08002B2CF9AE}" pid="7" name="MSIP_Label_5eb3f8df-33d6-400f-b44b-d25e0e34b758_ActionId">
    <vt:lpwstr>ea0344ad-39e0-4150-8851-ac28827d4f3f</vt:lpwstr>
  </property>
  <property fmtid="{D5CDD505-2E9C-101B-9397-08002B2CF9AE}" pid="8" name="MSIP_Label_5eb3f8df-33d6-400f-b44b-d25e0e34b758_ContentBits">
    <vt:lpwstr>0</vt:lpwstr>
  </property>
</Properties>
</file>